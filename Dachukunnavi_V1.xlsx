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157411\Downloads\"/>
    </mc:Choice>
  </mc:AlternateContent>
  <xr:revisionPtr revIDLastSave="0" documentId="13_ncr:1_{CEF3D79E-D0B5-4C6C-8744-702931651F37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SUDHA" sheetId="6" r:id="rId1"/>
    <sheet name="Dachukunnavi" sheetId="4" r:id="rId2"/>
    <sheet name="Dachukunnavi2" sheetId="7" r:id="rId3"/>
    <sheet name="MiyapurFlat" sheetId="11" r:id="rId4"/>
    <sheet name="Sheet1" sheetId="8" r:id="rId5"/>
    <sheet name="FAMILY SAVINGS" sheetId="5" r:id="rId6"/>
    <sheet name="EzyTech" sheetId="10" r:id="rId7"/>
    <sheet name="HYD_Plot" sheetId="12" r:id="rId8"/>
    <sheet name="KKD_Plot2" sheetId="13" r:id="rId9"/>
    <sheet name="KKD_Plot3Plans" sheetId="14" r:id="rId10"/>
    <sheet name="KKD_Plot4Plans" sheetId="17" r:id="rId11"/>
    <sheet name="kkd_Plot5_Plans" sheetId="15" r:id="rId12"/>
    <sheet name="Kesanakuru" sheetId="16" r:id="rId13"/>
    <sheet name="kkd_Plot6Plans" sheetId="18" r:id="rId14"/>
  </sheets>
  <definedNames>
    <definedName name="_xlnm._FilterDatabase" localSheetId="5" hidden="1">'FAMILY SAVINGS'!$B$2:$C$7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8" l="1"/>
  <c r="F40" i="18"/>
  <c r="C22" i="6"/>
  <c r="C21" i="6"/>
  <c r="J8" i="6" s="1"/>
  <c r="G36" i="15"/>
  <c r="G48" i="15"/>
  <c r="G47" i="15"/>
  <c r="G49" i="15"/>
  <c r="I41" i="15"/>
  <c r="G40" i="15"/>
  <c r="G33" i="15"/>
  <c r="G34" i="15" s="1"/>
  <c r="G32" i="15"/>
  <c r="G31" i="15"/>
  <c r="G21" i="15"/>
  <c r="F155" i="4"/>
  <c r="F158" i="4"/>
  <c r="F156" i="4"/>
  <c r="D155" i="4"/>
  <c r="D140" i="4"/>
  <c r="C152" i="4"/>
  <c r="C155" i="4" s="1"/>
  <c r="C137" i="4"/>
  <c r="C140" i="4" s="1"/>
  <c r="G122" i="4"/>
  <c r="C17" i="4"/>
  <c r="F109" i="4"/>
  <c r="C120" i="4"/>
  <c r="C123" i="4" s="1"/>
  <c r="D122" i="4" s="1"/>
  <c r="C105" i="4"/>
  <c r="C108" i="4" s="1"/>
  <c r="F122" i="4" s="1"/>
  <c r="F26" i="17"/>
  <c r="F23" i="17"/>
  <c r="G5" i="17"/>
  <c r="B6" i="17"/>
  <c r="D29" i="16"/>
  <c r="D28" i="16"/>
  <c r="D27" i="16"/>
  <c r="D8" i="16"/>
  <c r="D11" i="16" s="1"/>
  <c r="G51" i="14"/>
  <c r="G49" i="14"/>
  <c r="I13" i="14"/>
  <c r="I6" i="14"/>
  <c r="K42" i="14" s="1"/>
  <c r="I38" i="14"/>
  <c r="J42" i="14" s="1"/>
  <c r="L37" i="14"/>
  <c r="M36" i="14"/>
  <c r="M35" i="14"/>
  <c r="G27" i="15"/>
  <c r="J40" i="14"/>
  <c r="J41" i="14" s="1"/>
  <c r="M34" i="14"/>
  <c r="M33" i="14"/>
  <c r="M32" i="14"/>
  <c r="L31" i="14"/>
  <c r="K30" i="14"/>
  <c r="K29" i="14"/>
  <c r="M28" i="14"/>
  <c r="L14" i="14"/>
  <c r="L13" i="14"/>
  <c r="L9" i="14"/>
  <c r="L27" i="14"/>
  <c r="L26" i="14"/>
  <c r="K25" i="14"/>
  <c r="K24" i="14"/>
  <c r="K23" i="14"/>
  <c r="M22" i="14"/>
  <c r="L21" i="14"/>
  <c r="L20" i="14"/>
  <c r="M19" i="14"/>
  <c r="M18" i="14"/>
  <c r="M17" i="14"/>
  <c r="M16" i="14"/>
  <c r="M15" i="14"/>
  <c r="K40" i="14"/>
  <c r="K41" i="14" s="1"/>
  <c r="G47" i="14"/>
  <c r="C14" i="6"/>
  <c r="B21" i="13"/>
  <c r="B29" i="13"/>
  <c r="B26" i="13"/>
  <c r="B22" i="13"/>
  <c r="F29" i="11"/>
  <c r="F30" i="11" s="1"/>
  <c r="F10" i="12"/>
  <c r="G10" i="12"/>
  <c r="C92" i="10"/>
  <c r="C89" i="10"/>
  <c r="C87" i="10"/>
  <c r="I4" i="11"/>
  <c r="I29" i="11"/>
  <c r="J68" i="10"/>
  <c r="F68" i="10"/>
  <c r="J67" i="10"/>
  <c r="K67" i="10"/>
  <c r="F65" i="10"/>
  <c r="J65" i="10"/>
  <c r="F64" i="10"/>
  <c r="J64" i="10"/>
  <c r="J63" i="10"/>
  <c r="K63" i="10"/>
  <c r="N9" i="10"/>
  <c r="N3" i="10"/>
  <c r="N5" i="10"/>
  <c r="N4" i="10"/>
  <c r="N2" i="10" a="1"/>
  <c r="N2" i="10"/>
  <c r="Q34" i="10"/>
  <c r="Q33" i="10"/>
  <c r="F77" i="10"/>
  <c r="E77" i="10"/>
  <c r="D77" i="10"/>
  <c r="C77" i="10"/>
  <c r="D13" i="10"/>
  <c r="C76" i="10"/>
  <c r="J62" i="10"/>
  <c r="F61" i="10"/>
  <c r="J61" i="10"/>
  <c r="F60" i="10"/>
  <c r="J60" i="10"/>
  <c r="J59" i="10"/>
  <c r="K59" i="10"/>
  <c r="J58" i="10"/>
  <c r="F57" i="10"/>
  <c r="J57" i="10"/>
  <c r="K57" i="10"/>
  <c r="F56" i="10"/>
  <c r="J56" i="10"/>
  <c r="K56" i="10"/>
  <c r="F55" i="10"/>
  <c r="J55" i="10"/>
  <c r="K55" i="10"/>
  <c r="J54" i="10"/>
  <c r="K54" i="10"/>
  <c r="J53" i="10"/>
  <c r="K53" i="10"/>
  <c r="F52" i="10"/>
  <c r="J52" i="10"/>
  <c r="K52" i="10"/>
  <c r="F51" i="10"/>
  <c r="J51" i="10"/>
  <c r="K51" i="10"/>
  <c r="F50" i="10"/>
  <c r="J50" i="10"/>
  <c r="K50" i="10"/>
  <c r="L34" i="10"/>
  <c r="F31" i="10"/>
  <c r="J31" i="10"/>
  <c r="K31" i="10"/>
  <c r="F30" i="10"/>
  <c r="J30" i="10"/>
  <c r="K30" i="10"/>
  <c r="F29" i="10"/>
  <c r="J29" i="10"/>
  <c r="K29" i="10"/>
  <c r="F28" i="10"/>
  <c r="J28" i="10"/>
  <c r="K28" i="10"/>
  <c r="F27" i="10"/>
  <c r="J27" i="10"/>
  <c r="K27" i="10"/>
  <c r="F26" i="10"/>
  <c r="J26" i="10"/>
  <c r="K26" i="10"/>
  <c r="F25" i="10"/>
  <c r="J25" i="10"/>
  <c r="K25" i="10"/>
  <c r="F24" i="10"/>
  <c r="J24" i="10"/>
  <c r="K24" i="10"/>
  <c r="F23" i="10"/>
  <c r="J23" i="10"/>
  <c r="K23" i="10"/>
  <c r="F22" i="10"/>
  <c r="J22" i="10"/>
  <c r="K22" i="10"/>
  <c r="F21" i="10"/>
  <c r="J21" i="10"/>
  <c r="K21" i="10"/>
  <c r="F20" i="10"/>
  <c r="J20" i="10"/>
  <c r="K20" i="10"/>
  <c r="F18" i="10"/>
  <c r="J18" i="10"/>
  <c r="K18" i="10"/>
  <c r="F17" i="10"/>
  <c r="J17" i="10"/>
  <c r="K17" i="10"/>
  <c r="F19" i="10"/>
  <c r="J19" i="10"/>
  <c r="K19" i="10"/>
  <c r="H20" i="7"/>
  <c r="H21" i="7"/>
  <c r="B20" i="7"/>
  <c r="B21" i="7"/>
  <c r="N7" i="10"/>
  <c r="R11" i="10"/>
  <c r="C78" i="10"/>
  <c r="C79" i="10"/>
  <c r="N22" i="10"/>
  <c r="N25" i="10"/>
  <c r="N31" i="10"/>
  <c r="N28" i="10"/>
  <c r="N19" i="10"/>
  <c r="F9" i="8"/>
  <c r="F6" i="8"/>
  <c r="H77" i="10"/>
  <c r="R10" i="10"/>
  <c r="L33" i="10"/>
  <c r="L36" i="10"/>
  <c r="L38" i="10"/>
  <c r="N10" i="7"/>
  <c r="N5" i="7"/>
  <c r="N9" i="7"/>
  <c r="N14" i="7"/>
  <c r="C7" i="5"/>
  <c r="C68" i="4"/>
  <c r="C71" i="4"/>
  <c r="C73" i="4"/>
  <c r="C92" i="4"/>
  <c r="C95" i="4"/>
  <c r="C96" i="4"/>
  <c r="C80" i="4"/>
  <c r="C83" i="4" s="1"/>
  <c r="C85" i="4" s="1"/>
  <c r="Q60" i="4"/>
  <c r="R49" i="4"/>
  <c r="R55" i="4" s="1"/>
  <c r="R48" i="4"/>
  <c r="C52" i="4"/>
  <c r="C55" i="4" s="1"/>
  <c r="R19" i="4"/>
  <c r="R22" i="4"/>
  <c r="R8" i="4"/>
  <c r="R11" i="4" s="1"/>
  <c r="C32" i="4"/>
  <c r="C8" i="4"/>
  <c r="C11" i="4"/>
  <c r="C35" i="4"/>
  <c r="C38" i="4"/>
  <c r="C145" i="4" l="1"/>
  <c r="R62" i="4"/>
  <c r="D107" i="4"/>
  <c r="C113" i="4"/>
  <c r="C111" i="4"/>
  <c r="F24" i="17"/>
  <c r="G6" i="17"/>
  <c r="B11" i="17"/>
  <c r="D16" i="16"/>
  <c r="D14" i="16"/>
  <c r="G53" i="14"/>
  <c r="G48" i="14"/>
  <c r="K38" i="14"/>
  <c r="G50" i="14"/>
  <c r="L38" i="14"/>
  <c r="K43" i="14"/>
  <c r="M38" i="14"/>
  <c r="J43" i="14"/>
  <c r="C14" i="4"/>
  <c r="B23" i="13"/>
  <c r="J10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<sst xmlns="http://schemas.openxmlformats.org/spreadsheetml/2006/main" count="1020" uniqueCount="464">
  <si>
    <t>Receiver</t>
  </si>
  <si>
    <t>Amount</t>
  </si>
  <si>
    <t>Date Sent</t>
  </si>
  <si>
    <t>Reason</t>
  </si>
  <si>
    <t>Marriage</t>
  </si>
  <si>
    <t>Sudha Home GIFT (SBI)</t>
  </si>
  <si>
    <t>1st Salary Gift</t>
  </si>
  <si>
    <t>Car</t>
  </si>
  <si>
    <t>Sudha Home (SBI)</t>
  </si>
  <si>
    <t>Day2Day Expenses</t>
  </si>
  <si>
    <t>Chitti</t>
  </si>
  <si>
    <t>Dusyahth HDFC</t>
  </si>
  <si>
    <t>Father LIC MNGR</t>
  </si>
  <si>
    <t>UK Loan</t>
  </si>
  <si>
    <t>Mamiya HDFC</t>
  </si>
  <si>
    <t>Agriculture</t>
  </si>
  <si>
    <t>UK Loan Paid Back</t>
  </si>
  <si>
    <t>Sudha Helped in KKD</t>
  </si>
  <si>
    <t>Ramesh (KKD)</t>
  </si>
  <si>
    <t>Corona Testing</t>
  </si>
  <si>
    <t>Sudha Helped from UK</t>
  </si>
  <si>
    <t>Gold Loan</t>
  </si>
  <si>
    <t>Sudha Gold Load Paid</t>
  </si>
  <si>
    <t>Personal</t>
  </si>
  <si>
    <t>Total returns to Sudha</t>
  </si>
  <si>
    <t>Mamiya (Anjani Granites)</t>
  </si>
  <si>
    <t>21-22-23/11/23</t>
  </si>
  <si>
    <t>Granites work</t>
  </si>
  <si>
    <t>Sudha Gold Money (to make100GMs)</t>
  </si>
  <si>
    <t>Gold Money</t>
  </si>
  <si>
    <t>Mamiya Given Back (for kkd plot 2)</t>
  </si>
  <si>
    <t>Total to Sudha Home</t>
  </si>
  <si>
    <t>Mamiya (Granites Partnership)</t>
  </si>
  <si>
    <t>IDI 12 MONTHS TARUVATHA IVVANANDUKU</t>
  </si>
  <si>
    <t>COMPLETED</t>
  </si>
  <si>
    <t>YEVARIKI</t>
  </si>
  <si>
    <t>MAMMU</t>
  </si>
  <si>
    <t xml:space="preserve">CHITTILU START </t>
  </si>
  <si>
    <t>AUNTY (KKD)</t>
  </si>
  <si>
    <t>ICHINA ROJU</t>
  </si>
  <si>
    <t>NELA KI SEND BEFORE 7th</t>
  </si>
  <si>
    <t>ICHINA ROJU (ESTIMATED)</t>
  </si>
  <si>
    <t>ASALU</t>
  </si>
  <si>
    <t xml:space="preserve"> (1lk Mammu)</t>
  </si>
  <si>
    <t xml:space="preserve">DATE </t>
  </si>
  <si>
    <t>AMOUNT</t>
  </si>
  <si>
    <t>S.NO</t>
  </si>
  <si>
    <t>VADDI</t>
  </si>
  <si>
    <t>NELA KI ENTHA</t>
  </si>
  <si>
    <t>RETURN DATE ESTIMATED</t>
  </si>
  <si>
    <t xml:space="preserve">MONTHS </t>
  </si>
  <si>
    <t>MONTHS</t>
  </si>
  <si>
    <t>RETURN DABBULU</t>
  </si>
  <si>
    <t>(Idi 55Nenu pampanu and 25 Bajji icharu)</t>
  </si>
  <si>
    <t>INTEREST PAID (1st week aug 2019)</t>
  </si>
  <si>
    <t>PAID TO CAR (116)</t>
  </si>
  <si>
    <t>(Idi Mohan garu account ninchi india lo transfer chesaru)</t>
  </si>
  <si>
    <t>ICHINAVI 100000</t>
  </si>
  <si>
    <t>Interest PAID (Mid Sept 2020)</t>
  </si>
  <si>
    <t>GIVEN TO BAZZI</t>
  </si>
  <si>
    <t>INKA RAVALSINAVI</t>
  </si>
  <si>
    <t>08/11/2018 (After Work)</t>
  </si>
  <si>
    <t>(ICICI ninchi transfer chesa)</t>
  </si>
  <si>
    <t>Given to mammu (Transfer to Viswa avenue  17th mar 2023)</t>
  </si>
  <si>
    <t>From Transfer wise (Sent 1Lakh = 80 to chitti + 20 Mammu)</t>
  </si>
  <si>
    <t xml:space="preserve">From TransferWise </t>
  </si>
  <si>
    <t>Bajji Kattaru (Nenu Tickets Book Chesukunna)</t>
  </si>
  <si>
    <t>Bazzi ni aa 2Lakhs lo kattamannanu - becz rate baga padipoindi.</t>
  </si>
  <si>
    <t>90000 Nenu kattanu, Bazzi deggara levu anta (Nake 40000 Ravali)</t>
  </si>
  <si>
    <t>AUGUST LO TRIP KARCHU</t>
  </si>
  <si>
    <t>Pattuku Vellalsinivi</t>
  </si>
  <si>
    <t>Yentha Aiyai</t>
  </si>
  <si>
    <t>90000 From TransferWise</t>
  </si>
  <si>
    <t>BAZZI</t>
  </si>
  <si>
    <t>SCOPE + ACCESSORIES</t>
  </si>
  <si>
    <t>BAJJI Kattaru (Nenu Visa karchulaki Vadukunnanu)</t>
  </si>
  <si>
    <t>DRINKS</t>
  </si>
  <si>
    <t>CHAPPALU + OTHERS</t>
  </si>
  <si>
    <t>AMMA</t>
  </si>
  <si>
    <t>CHINNA MIXER</t>
  </si>
  <si>
    <t>WATCH</t>
  </si>
  <si>
    <t>DUSYANTH</t>
  </si>
  <si>
    <t>SHOES + 1/2 TSHIRTS</t>
  </si>
  <si>
    <t>CHITTILU START (SUDHA - HALF CHITTI WITH BAJJI)</t>
  </si>
  <si>
    <t>JUHIT</t>
  </si>
  <si>
    <t>T+SHORTS+SHOES</t>
  </si>
  <si>
    <t>TEJA</t>
  </si>
  <si>
    <t>PURSE</t>
  </si>
  <si>
    <t>PAID (1st week aug 2019)</t>
  </si>
  <si>
    <t>MADAM 1 + MAMA 1 ICHARU</t>
  </si>
  <si>
    <t>UMESH</t>
  </si>
  <si>
    <t>PAID (2nd week Dec 2020)</t>
  </si>
  <si>
    <t xml:space="preserve"> -</t>
  </si>
  <si>
    <t>Ivi bajji kattaru (Na 2Lakhs lo migilina money)</t>
  </si>
  <si>
    <t>KAMMANIA</t>
  </si>
  <si>
    <t xml:space="preserve">CHEPPULU </t>
  </si>
  <si>
    <t>TOTAL RETURNS (TO ME)</t>
  </si>
  <si>
    <t>Anything over 5L to Mamiya</t>
  </si>
  <si>
    <t>Ivi nenu next nela ki kuda kalipi kattanu (Pound rate on top)</t>
  </si>
  <si>
    <t>MAMA</t>
  </si>
  <si>
    <t>CHAPPALS (2) + SHADES</t>
  </si>
  <si>
    <t>(From Prev Month)</t>
  </si>
  <si>
    <t>ATHA</t>
  </si>
  <si>
    <t>PALLAVI</t>
  </si>
  <si>
    <t xml:space="preserve">PURSE + CHAPPALS </t>
  </si>
  <si>
    <t>Mamiya Returned 11L to me FROM ABOVE</t>
  </si>
  <si>
    <t>(To MY ICICI Bank Acc)</t>
  </si>
  <si>
    <t>CHAITANYA</t>
  </si>
  <si>
    <t>T-SHIRTS</t>
  </si>
  <si>
    <t>(To RAM Gopal Bank Acc)</t>
  </si>
  <si>
    <t>RANNU</t>
  </si>
  <si>
    <t>DRESSES + OTHERS</t>
  </si>
  <si>
    <t>JASSU</t>
  </si>
  <si>
    <t>DRESSES</t>
  </si>
  <si>
    <t>RAMESH</t>
  </si>
  <si>
    <t>SHADES</t>
  </si>
  <si>
    <t>SIRISHA</t>
  </si>
  <si>
    <t>z</t>
  </si>
  <si>
    <t>ASHWINI N FAMILY</t>
  </si>
  <si>
    <t>DREESS + CHOCS</t>
  </si>
  <si>
    <t>KIRAN AND FAMILY</t>
  </si>
  <si>
    <t>MANUGURU LO MADAM KI</t>
  </si>
  <si>
    <t>BUJJI AND FAMILY</t>
  </si>
  <si>
    <t>PURSE + CHOCS</t>
  </si>
  <si>
    <t>PRADEEP AND FAMILY</t>
  </si>
  <si>
    <t>PURSE(2) + DRESS</t>
  </si>
  <si>
    <t>LAKKAVARAM</t>
  </si>
  <si>
    <t>PURSE + SCENT</t>
  </si>
  <si>
    <t>BIJILI</t>
  </si>
  <si>
    <t>TOPS + SHORTS</t>
  </si>
  <si>
    <t>NISHI</t>
  </si>
  <si>
    <t>RETURNED</t>
  </si>
  <si>
    <t>APPARTMENT LO</t>
  </si>
  <si>
    <t>CHOCS</t>
  </si>
  <si>
    <t xml:space="preserve">LATHA ATTATIYA </t>
  </si>
  <si>
    <t>ANNITIKOSAM PETROL</t>
  </si>
  <si>
    <t>IVI KAKUNDA</t>
  </si>
  <si>
    <t>TICKETS</t>
  </si>
  <si>
    <t>TRAVEL</t>
  </si>
  <si>
    <t>(STOKE TO MAN AND RETURN)</t>
  </si>
  <si>
    <t>TOTAL MANDATORY KARCHU</t>
  </si>
  <si>
    <t>MAMA KI 1 IVVALI</t>
  </si>
  <si>
    <t>IVI NAKU 2 YEARS LO RAVALSINIVI</t>
  </si>
  <si>
    <t>VADDI MIDA VADDI</t>
  </si>
  <si>
    <t>CHITTILU START (Self - New)</t>
  </si>
  <si>
    <t>CHITTILU START (SUDHA)</t>
  </si>
  <si>
    <t>GOLD LOAN</t>
  </si>
  <si>
    <t xml:space="preserve">Continuing Bajji Chitti </t>
  </si>
  <si>
    <t>BANK</t>
  </si>
  <si>
    <t xml:space="preserve">REPAID LOAN </t>
  </si>
  <si>
    <t>Sent from My Transferwise Account</t>
  </si>
  <si>
    <t>GIVEN FOR INTEREST</t>
  </si>
  <si>
    <t>INTEREST RATE</t>
  </si>
  <si>
    <t xml:space="preserve">Start date </t>
  </si>
  <si>
    <t>Sent from Seshi ICICI Account (INDIA)</t>
  </si>
  <si>
    <t>Total Months as on today</t>
  </si>
  <si>
    <t>Total Interest on 6Lks</t>
  </si>
  <si>
    <t>Interest to bank on 10Lks</t>
  </si>
  <si>
    <t>Sent from Sudha ICICI Account (INDIA)</t>
  </si>
  <si>
    <t>60000 (Tr to Dush from ICICI) + 100000 (Mamiys to Dush Cash)</t>
  </si>
  <si>
    <t>Sent from ICICI Bank Account</t>
  </si>
  <si>
    <t>TOTAL PAYABLE TO ME.</t>
  </si>
  <si>
    <t>Sent 251000 by Krishi Datla</t>
  </si>
  <si>
    <t>Sent 69000 from ICICI Bank acocunt</t>
  </si>
  <si>
    <t>`</t>
  </si>
  <si>
    <t>Sent to Mammu by Venki and Mmmu to Chitti</t>
  </si>
  <si>
    <t>130000 sent from wise and 70000 Bava paid from previous</t>
  </si>
  <si>
    <t>Satish paid 50K+1L on 07/10 and 50K on 10/10</t>
  </si>
  <si>
    <t>New Kshatriya Chitti 1 (Paid by dad from Rents)</t>
  </si>
  <si>
    <t>New Kshatriya Chitti 2 (Paid by dad from Rents)</t>
  </si>
  <si>
    <t>New Kshatriya Chitti 3</t>
  </si>
  <si>
    <t>Done First one</t>
  </si>
  <si>
    <t>Given by MOM from HM</t>
  </si>
  <si>
    <t>1.4 Sent from My Transferwise Account + 0.3 Mom</t>
  </si>
  <si>
    <t>Not Paid</t>
  </si>
  <si>
    <t>April</t>
  </si>
  <si>
    <t>MIYAPUR FLAT</t>
  </si>
  <si>
    <t>IN GBP</t>
  </si>
  <si>
    <t>Total cost of Flat</t>
  </si>
  <si>
    <t>Icici Bank</t>
  </si>
  <si>
    <t>Ramgopal</t>
  </si>
  <si>
    <t>(Transferred by Harika Reddy India)</t>
  </si>
  <si>
    <t>Viswa Avenues (Kasi Garu)</t>
  </si>
  <si>
    <t>DusyanthRaju</t>
  </si>
  <si>
    <t>Sravanthi</t>
  </si>
  <si>
    <t xml:space="preserve">Pothuraju </t>
  </si>
  <si>
    <t>Kasi garu (Axis Bank)</t>
  </si>
  <si>
    <t>Kasi garu (UCO Bank)</t>
  </si>
  <si>
    <t>(Transferred by Ram + Akbar)</t>
  </si>
  <si>
    <t>(Transferred by Ram)</t>
  </si>
  <si>
    <t>(From my icici bank account)</t>
  </si>
  <si>
    <t>Bajji (Cash)</t>
  </si>
  <si>
    <t>(Cash)</t>
  </si>
  <si>
    <t>Total Sent to Kasi Garu</t>
  </si>
  <si>
    <t xml:space="preserve">Pending Amount </t>
  </si>
  <si>
    <t>(Should be given by Bajji)</t>
  </si>
  <si>
    <t>Chitti 1</t>
  </si>
  <si>
    <t xml:space="preserve">Madam </t>
  </si>
  <si>
    <t>Mammu Atta</t>
  </si>
  <si>
    <t>Bajji Deggara</t>
  </si>
  <si>
    <t>Mammu Atta Interest</t>
  </si>
  <si>
    <t>Chitti 1 Mida interest</t>
  </si>
  <si>
    <t>Bajji paying another chitti (Per Month)</t>
  </si>
  <si>
    <t>Started from May 2020</t>
  </si>
  <si>
    <t>Total Months as on Jan 2021</t>
  </si>
  <si>
    <t>Gold loan Interest</t>
  </si>
  <si>
    <t>REASON</t>
  </si>
  <si>
    <t>Received</t>
  </si>
  <si>
    <t>Transferred</t>
  </si>
  <si>
    <t>Date</t>
  </si>
  <si>
    <t>TO</t>
  </si>
  <si>
    <t xml:space="preserve">WARANGAL POLANIKI </t>
  </si>
  <si>
    <t>Bajji SBI</t>
  </si>
  <si>
    <t>MAMMU BTECH (3Y + Some Expenses)</t>
  </si>
  <si>
    <t>Teja IND Bk</t>
  </si>
  <si>
    <t>AMMIA KI (GOLD LOAN)</t>
  </si>
  <si>
    <t xml:space="preserve">THROWING WASTE OUT </t>
  </si>
  <si>
    <t>TOTAL</t>
  </si>
  <si>
    <t>STUDIES KI KARCHU</t>
  </si>
  <si>
    <t>UNIV FEE</t>
  </si>
  <si>
    <t>EXPENSES</t>
  </si>
  <si>
    <t>Month</t>
  </si>
  <si>
    <t>Received From</t>
  </si>
  <si>
    <t>Other Payments</t>
  </si>
  <si>
    <t>Name</t>
  </si>
  <si>
    <t>Payment Date</t>
  </si>
  <si>
    <t>Total credited into account</t>
  </si>
  <si>
    <t>D Pulwaria</t>
  </si>
  <si>
    <t>Account Taxation Ltd</t>
  </si>
  <si>
    <t>Sent to employees:</t>
  </si>
  <si>
    <t>Mahinsha Navas</t>
  </si>
  <si>
    <t>Taxes Employee</t>
  </si>
  <si>
    <t>Nikola Bila</t>
  </si>
  <si>
    <t>Accountant:</t>
  </si>
  <si>
    <t>Final One of payment in Feb</t>
  </si>
  <si>
    <t>Kaptain Secu</t>
  </si>
  <si>
    <t>Total pending to Waqas before employer tax</t>
  </si>
  <si>
    <t>Securo Respo</t>
  </si>
  <si>
    <t>Employer Tax</t>
  </si>
  <si>
    <t>If Employer have to pay tax to Govt then Waqas own ezytech money</t>
  </si>
  <si>
    <t>If Employer don’t have to pay tax to Govt then Waqas gets money from Ezytech</t>
  </si>
  <si>
    <t>Returned Money to kaptain Sec</t>
  </si>
  <si>
    <t>NI Number</t>
  </si>
  <si>
    <t>Working Hours</t>
  </si>
  <si>
    <t>Rate</t>
  </si>
  <si>
    <t>TotalPay</t>
  </si>
  <si>
    <t>NI Tax Employer</t>
  </si>
  <si>
    <t>NI Tax Employee</t>
  </si>
  <si>
    <t>Income Tax</t>
  </si>
  <si>
    <t>Net Pay</t>
  </si>
  <si>
    <t>ME 2 PAY</t>
  </si>
  <si>
    <t>SENT DATE</t>
  </si>
  <si>
    <t>SENT AMOUNT</t>
  </si>
  <si>
    <t>Lalit Kumar Joya</t>
  </si>
  <si>
    <t>SY 76 80 81 B</t>
  </si>
  <si>
    <t>Naveen Varma Mudunuri</t>
  </si>
  <si>
    <t>SY741829B</t>
  </si>
  <si>
    <t>Muhammad Waqas Butt</t>
  </si>
  <si>
    <t>SS 38 31 21 B</t>
  </si>
  <si>
    <t>Total Paid to Employees without Employee tax:</t>
  </si>
  <si>
    <t>Tax to keep on Hold (Employer)</t>
  </si>
  <si>
    <t>Money in bank:</t>
  </si>
  <si>
    <t>ALL CLEARED FOR WAQAS AS ON ABOVE EXCEPT NI TAX EMPLOYER</t>
  </si>
  <si>
    <t>For Myself</t>
  </si>
  <si>
    <t>Satyanarayana Raju Mudunuri</t>
  </si>
  <si>
    <t>SY 78 71 95 D</t>
  </si>
  <si>
    <t>Gowtham</t>
  </si>
  <si>
    <t>SY 76 48 24 A</t>
  </si>
  <si>
    <t>Total Employee Tax</t>
  </si>
  <si>
    <t>Total Employer Tax</t>
  </si>
  <si>
    <t>For Accountant till March 22</t>
  </si>
  <si>
    <t xml:space="preserve">TOTAL </t>
  </si>
  <si>
    <t>TOTAL RECEIVED</t>
  </si>
  <si>
    <t>TOTAL SENT TO WAQAS</t>
  </si>
  <si>
    <t>TOTAL SENT TO NAVEEN</t>
  </si>
  <si>
    <t>TOTAL SENT TO LALIT</t>
  </si>
  <si>
    <t>Company ki Karchu</t>
  </si>
  <si>
    <t xml:space="preserve">Comp Ki + Lawyer ki (2000) + Accountant ki 3 years (100GBP monthly) + Account opening support + Initial accomodation support </t>
  </si>
  <si>
    <t>COS UKVI ninchi konataniki 3 Years</t>
  </si>
  <si>
    <t>(Ivi yevaru aina kattalsinde)</t>
  </si>
  <si>
    <t>Number ivvataniki</t>
  </si>
  <si>
    <t>Start cheyataniki</t>
  </si>
  <si>
    <t>COS apply cheyakamundu</t>
  </si>
  <si>
    <t>COS ichetappudu</t>
  </si>
  <si>
    <t>Visa vachina taruvatha</t>
  </si>
  <si>
    <t>HYD_Plot (Nearly) 605 Sqyards @3000inr per sql yard</t>
  </si>
  <si>
    <t>TOTAL TO SEND (Nearly) = 180000</t>
  </si>
  <si>
    <t>S.No</t>
  </si>
  <si>
    <t>Date_Sent</t>
  </si>
  <si>
    <t>Sent_By</t>
  </si>
  <si>
    <t>Sent_Via</t>
  </si>
  <si>
    <t>Sent_To</t>
  </si>
  <si>
    <t>Amount in INR</t>
  </si>
  <si>
    <t>Amount in GBP</t>
  </si>
  <si>
    <t>History</t>
  </si>
  <si>
    <t>Transfer from them</t>
  </si>
  <si>
    <t>Historical Transfer</t>
  </si>
  <si>
    <t>Self</t>
  </si>
  <si>
    <t>Sudha ICICI Bank</t>
  </si>
  <si>
    <t>Sent to Axis / Uco bank</t>
  </si>
  <si>
    <t>Transferwise</t>
  </si>
  <si>
    <t>Sent to Viswa Avenues Ltd</t>
  </si>
  <si>
    <t>TOTAL SENT TO INDIA</t>
  </si>
  <si>
    <t>Sent Via</t>
  </si>
  <si>
    <t>Sent to</t>
  </si>
  <si>
    <t>23/03/2024</t>
  </si>
  <si>
    <t>TransferWise (UK Account)</t>
  </si>
  <si>
    <t>Koduru Lakshmi Tulasi</t>
  </si>
  <si>
    <t>Sent</t>
  </si>
  <si>
    <t>24/03/2024</t>
  </si>
  <si>
    <t>HDFC Bank (India Account)</t>
  </si>
  <si>
    <t>26/03/2024</t>
  </si>
  <si>
    <t>27/03/2024</t>
  </si>
  <si>
    <t>Check From Pallavi (Check No: )</t>
  </si>
  <si>
    <t>Gandham Pradeep HDFC</t>
  </si>
  <si>
    <t>17-18/4/2024</t>
  </si>
  <si>
    <t>Mamiya</t>
  </si>
  <si>
    <t>Cash</t>
  </si>
  <si>
    <t>Done</t>
  </si>
  <si>
    <t>19/4/2024</t>
  </si>
  <si>
    <t>Gandham Pradeep SBI</t>
  </si>
  <si>
    <t>22/4/2024</t>
  </si>
  <si>
    <t>Icici Sudha</t>
  </si>
  <si>
    <t>Mamiya Account (Cash withdrawl)</t>
  </si>
  <si>
    <t>25/4/2024</t>
  </si>
  <si>
    <t>Attatiya Account (Cash withdrawl)</t>
  </si>
  <si>
    <t>27/4/2024</t>
  </si>
  <si>
    <t>Total Sent</t>
  </si>
  <si>
    <t>Actual Amount</t>
  </si>
  <si>
    <t>Pending Amount</t>
  </si>
  <si>
    <t>Given by Mamiya</t>
  </si>
  <si>
    <t>Land Cost</t>
  </si>
  <si>
    <t>Registration Cost</t>
  </si>
  <si>
    <t>Agent cost</t>
  </si>
  <si>
    <t>Total Plot Cost</t>
  </si>
  <si>
    <t>ICICI</t>
  </si>
  <si>
    <t xml:space="preserve">Radha Lakshmi A V </t>
  </si>
  <si>
    <t>HDFC Bank (NRI Account)</t>
  </si>
  <si>
    <t>HDFC Bank (NRO Account)</t>
  </si>
  <si>
    <t>ICICI Bank</t>
  </si>
  <si>
    <t>HDFC NRI Account</t>
  </si>
  <si>
    <t>Ramarao Via Mamiya (Into HDFC 536)</t>
  </si>
  <si>
    <t>To Ramarao</t>
  </si>
  <si>
    <t>To Owner</t>
  </si>
  <si>
    <t>Sq Yards</t>
  </si>
  <si>
    <t>Total Land in Yards</t>
  </si>
  <si>
    <t>Land cost per Yard</t>
  </si>
  <si>
    <t>per Sq Yard</t>
  </si>
  <si>
    <t>Total Land Cost</t>
  </si>
  <si>
    <t>Sent amount</t>
  </si>
  <si>
    <t>Pending amount</t>
  </si>
  <si>
    <t>Inr</t>
  </si>
  <si>
    <t>To Mamiya</t>
  </si>
  <si>
    <t>Sri Sai Sannidhi Infra Developers</t>
  </si>
  <si>
    <t>Sai Chaitanya A</t>
  </si>
  <si>
    <t>ToSaiRam</t>
  </si>
  <si>
    <t>2Ramarao</t>
  </si>
  <si>
    <t>Sent Total</t>
  </si>
  <si>
    <t>Pending</t>
  </si>
  <si>
    <t>HDFC</t>
  </si>
  <si>
    <t>Halifax (Via Transferwise)</t>
  </si>
  <si>
    <t>Sent to Account</t>
  </si>
  <si>
    <t>Amount in Rupees</t>
  </si>
  <si>
    <t>Confirmation from Seller</t>
  </si>
  <si>
    <t>TOTAL AMOUNT SENT</t>
  </si>
  <si>
    <t>Cash from FIL</t>
  </si>
  <si>
    <t>Registration</t>
  </si>
  <si>
    <t>Sudha HDFC Cheque</t>
  </si>
  <si>
    <t>Extras (Agents etc)</t>
  </si>
  <si>
    <t>GRAND TOTAL</t>
  </si>
  <si>
    <t>Pallavi SBI Account</t>
  </si>
  <si>
    <t>Given for Car Loan</t>
  </si>
  <si>
    <t>Mamiya - Traferwise to 536 HDFC</t>
  </si>
  <si>
    <t>110801511905 Lakshmi Sravatha</t>
  </si>
  <si>
    <t>Sent To</t>
  </si>
  <si>
    <t>Monthly Interest (2rs)</t>
  </si>
  <si>
    <t>Interest Returned</t>
  </si>
  <si>
    <t>Total months since given</t>
  </si>
  <si>
    <t>Total Interest amount</t>
  </si>
  <si>
    <t>Total Interest pending</t>
  </si>
  <si>
    <t>SUB TOTAL</t>
  </si>
  <si>
    <t>Yards</t>
  </si>
  <si>
    <t>YardCost</t>
  </si>
  <si>
    <t>Land cost</t>
  </si>
  <si>
    <t>Modification</t>
  </si>
  <si>
    <t>Broker</t>
  </si>
  <si>
    <t>Thimmapuram Plot</t>
  </si>
  <si>
    <t>Govt Land Cost</t>
  </si>
  <si>
    <t>Total Govt Land Cost</t>
  </si>
  <si>
    <t>Cash to LandLord</t>
  </si>
  <si>
    <t>Money So far</t>
  </si>
  <si>
    <t>Tranefer Date</t>
  </si>
  <si>
    <t>Transfer Via</t>
  </si>
  <si>
    <t>Cash from Mamiya</t>
  </si>
  <si>
    <t>Cash from Mamiya / Phone Pay</t>
  </si>
  <si>
    <t>Via HDFC NRI</t>
  </si>
  <si>
    <t>TOTAL SENT</t>
  </si>
  <si>
    <t>PENDING</t>
  </si>
  <si>
    <t>Cash:</t>
  </si>
  <si>
    <t>TRANSFER</t>
  </si>
  <si>
    <t>CASH</t>
  </si>
  <si>
    <t>int pending</t>
  </si>
  <si>
    <t>paid interest</t>
  </si>
  <si>
    <t>total interest</t>
  </si>
  <si>
    <t>Given to mammu (Received on 28/04/2025)</t>
  </si>
  <si>
    <t>Rate:</t>
  </si>
  <si>
    <t>Months:</t>
  </si>
  <si>
    <t>Used fromHDFC Bank acocunt (Visa Money)</t>
  </si>
  <si>
    <t>Given for Visa - Used it</t>
  </si>
  <si>
    <t>Given back for Plot 2</t>
  </si>
  <si>
    <t>From Account</t>
  </si>
  <si>
    <t>Nimmana Santosh Kumar - HDFC</t>
  </si>
  <si>
    <t>Sudha HDFC Bank</t>
  </si>
  <si>
    <t>Sudha Barclays - Via Transferwise</t>
  </si>
  <si>
    <t>Confirmed</t>
  </si>
  <si>
    <t>TransferWise</t>
  </si>
  <si>
    <t>Nimmana Sukanya - Godavari Grameena Bank</t>
  </si>
  <si>
    <t>Nimmana Bhavannarayana - Grameena Bank</t>
  </si>
  <si>
    <t>Nimmana Padmavathi - Godavari Grameena Bank</t>
  </si>
  <si>
    <t>Confirmed (Video)</t>
  </si>
  <si>
    <r>
      <t>TransferWise</t>
    </r>
    <r>
      <rPr>
        <b/>
        <sz val="11"/>
        <color theme="1"/>
        <rFont val="Calibri"/>
        <family val="2"/>
        <scheme val="minor"/>
      </rPr>
      <t>(CASH)</t>
    </r>
  </si>
  <si>
    <r>
      <t xml:space="preserve">Sai HDFC Bank NRI Account </t>
    </r>
    <r>
      <rPr>
        <b/>
        <sz val="11"/>
        <color theme="1"/>
        <rFont val="Calibri"/>
        <family val="2"/>
        <scheme val="minor"/>
      </rPr>
      <t>(CASH)</t>
    </r>
  </si>
  <si>
    <r>
      <t>TransferWise</t>
    </r>
    <r>
      <rPr>
        <b/>
        <sz val="11"/>
        <color theme="1"/>
        <rFont val="Calibri"/>
        <family val="2"/>
        <scheme val="minor"/>
      </rPr>
      <t xml:space="preserve"> (CASH)</t>
    </r>
  </si>
  <si>
    <r>
      <t xml:space="preserve">Sudha Barclays - Via Transferwise </t>
    </r>
    <r>
      <rPr>
        <b/>
        <sz val="11"/>
        <color theme="1"/>
        <rFont val="Calibri"/>
        <family val="2"/>
        <scheme val="minor"/>
      </rPr>
      <t>(CASH)</t>
    </r>
  </si>
  <si>
    <t>Jay (10lks) + Komal (2 Lks)</t>
  </si>
  <si>
    <t>Mamiya 4m mom</t>
  </si>
  <si>
    <t>Sudha HDFC</t>
  </si>
  <si>
    <t>Sudha Barclays</t>
  </si>
  <si>
    <t>Per Cent Cost</t>
  </si>
  <si>
    <t>Total Cents</t>
  </si>
  <si>
    <t>Total Cost</t>
  </si>
  <si>
    <t>Total with me</t>
  </si>
  <si>
    <t>Total Requirement Further</t>
  </si>
  <si>
    <t>Komal (Cash)</t>
  </si>
  <si>
    <t>Mammu (Cash)</t>
  </si>
  <si>
    <t>Jay Cash</t>
  </si>
  <si>
    <t xml:space="preserve">Available - Further </t>
  </si>
  <si>
    <t>Chowdary</t>
  </si>
  <si>
    <t>Pending to send for Land Owner</t>
  </si>
  <si>
    <t>Commission</t>
  </si>
  <si>
    <t>Bank Transfer</t>
  </si>
  <si>
    <t>Cash Rest</t>
  </si>
  <si>
    <t>2 cents will be given later end of month</t>
  </si>
  <si>
    <t>Total Cash Available:</t>
  </si>
  <si>
    <t>Cash Required Now</t>
  </si>
  <si>
    <t>Cash WithDrawn (FIL)</t>
  </si>
  <si>
    <t>Cash WithDrawn (MIL)</t>
  </si>
  <si>
    <t>Sai Halifax</t>
  </si>
  <si>
    <t>Sankranthi Celebrations</t>
  </si>
  <si>
    <t>Cash +Transfers</t>
  </si>
  <si>
    <t xml:space="preserve">Phone from Vijayawada </t>
  </si>
  <si>
    <t>Transfer to HDFC 153</t>
  </si>
  <si>
    <t xml:space="preserve">Gold Shop </t>
  </si>
  <si>
    <t>Account</t>
  </si>
  <si>
    <t>Cash in KKD</t>
  </si>
  <si>
    <t>Amount (In Lacs)</t>
  </si>
  <si>
    <t>HDFC Bank - Self</t>
  </si>
  <si>
    <t>HDFC Bank - Sudha</t>
  </si>
  <si>
    <t>HDFC Bank - Attatiya</t>
  </si>
  <si>
    <t>Halifax</t>
  </si>
  <si>
    <t>Barclays</t>
  </si>
  <si>
    <t>Komal</t>
  </si>
  <si>
    <t>Lavanya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</si>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</sst>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14" fontId="0" fillId="0" borderId="0" xfId="0" applyNumberFormat="1"/>
    <xf numFmtId="0" fontId="1" fillId="0" borderId="0" xfId="0" applyFont="1"/>
    <xf numFmtId="15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/>
    <xf numFmtId="0" fontId="0" fillId="3" borderId="1" xfId="0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164" fontId="0" fillId="0" borderId="1" xfId="0" applyNumberFormat="1" applyBorder="1" applyAlignment="1">
      <alignment horizontal="left" vertical="center"/>
    </xf>
    <xf numFmtId="14" fontId="0" fillId="0" borderId="1" xfId="0" applyNumberFormat="1" applyBorder="1"/>
    <xf numFmtId="0" fontId="0" fillId="2" borderId="1" xfId="0" applyFill="1" applyBorder="1"/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4" fontId="3" fillId="0" borderId="1" xfId="0" applyNumberFormat="1" applyFont="1" applyBorder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3" fillId="0" borderId="8" xfId="0" applyFont="1" applyBorder="1"/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0" xfId="0" applyFont="1" applyBorder="1"/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5" xfId="0" applyFont="1" applyFill="1" applyBorder="1"/>
    <xf numFmtId="0" fontId="3" fillId="0" borderId="12" xfId="0" applyFont="1" applyBorder="1"/>
    <xf numFmtId="0" fontId="1" fillId="4" borderId="1" xfId="0" applyFont="1" applyFill="1" applyBorder="1"/>
    <xf numFmtId="0" fontId="0" fillId="0" borderId="0" xfId="0" applyAlignment="1">
      <alignment horizontal="left" vertical="center"/>
    </xf>
    <xf numFmtId="0" fontId="1" fillId="3" borderId="0" xfId="0" applyFont="1" applyFill="1"/>
    <xf numFmtId="0" fontId="0" fillId="0" borderId="21" xfId="0" applyBorder="1"/>
    <xf numFmtId="0" fontId="1" fillId="3" borderId="22" xfId="0" applyFont="1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0" xfId="0" applyAlignment="1">
      <alignment vertical="center"/>
    </xf>
    <xf numFmtId="0" fontId="0" fillId="4" borderId="1" xfId="0" applyFill="1" applyBorder="1"/>
    <xf numFmtId="0" fontId="2" fillId="0" borderId="0" xfId="0" applyFont="1"/>
    <xf numFmtId="17" fontId="0" fillId="0" borderId="1" xfId="0" applyNumberFormat="1" applyBorder="1"/>
    <xf numFmtId="17" fontId="0" fillId="0" borderId="0" xfId="0" applyNumberFormat="1"/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0" xfId="0" applyFill="1"/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/>
    <xf numFmtId="165" fontId="0" fillId="0" borderId="6" xfId="0" applyNumberFormat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1" fillId="3" borderId="1" xfId="0" applyFont="1" applyFill="1" applyBorder="1"/>
    <xf numFmtId="0" fontId="1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14" fontId="0" fillId="2" borderId="1" xfId="0" applyNumberFormat="1" applyFill="1" applyBorder="1" applyAlignment="1">
      <alignment horizontal="left" vertical="center"/>
    </xf>
    <xf numFmtId="0" fontId="1" fillId="6" borderId="1" xfId="0" applyFont="1" applyFill="1" applyBorder="1"/>
    <xf numFmtId="0" fontId="0" fillId="6" borderId="1" xfId="0" applyFill="1" applyBorder="1"/>
    <xf numFmtId="0" fontId="1" fillId="0" borderId="16" xfId="0" applyFont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1" fillId="8" borderId="1" xfId="0" applyFont="1" applyFill="1" applyBorder="1"/>
    <xf numFmtId="0" fontId="0" fillId="0" borderId="4" xfId="0" applyBorder="1"/>
    <xf numFmtId="9" fontId="0" fillId="0" borderId="1" xfId="0" applyNumberFormat="1" applyBorder="1"/>
    <xf numFmtId="0" fontId="4" fillId="0" borderId="0" xfId="0" applyFont="1"/>
    <xf numFmtId="0" fontId="4" fillId="2" borderId="1" xfId="0" applyFont="1" applyFill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 wrapText="1"/>
    </xf>
    <xf numFmtId="14" fontId="0" fillId="5" borderId="18" xfId="0" applyNumberFormat="1" applyFill="1" applyBorder="1" applyAlignment="1">
      <alignment horizontal="center" vertical="center"/>
    </xf>
    <xf numFmtId="14" fontId="0" fillId="5" borderId="19" xfId="0" applyNumberFormat="1" applyFill="1" applyBorder="1" applyAlignment="1">
      <alignment horizontal="center" vertical="center"/>
    </xf>
    <xf numFmtId="14" fontId="0" fillId="5" borderId="20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1" fillId="8" borderId="34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FBCF-2517-4963-ADA2-A1495F5A82E1}">
  <dimension ref="B1:J39"/>
  <sheetViews>
    <sheetView workbookViewId="0">
      <selection activeCell="D32" sqref="D32"/>
    </sheetView>
  </sheetViews>
  <sheetFormatPr defaultRowHeight="15" x14ac:dyDescent="0.25"/>
  <cols>
    <col min="2" max="2" width="40" bestFit="1" customWidth="1"/>
    <col min="3" max="3" width="16.7109375" customWidth="1"/>
    <col min="4" max="4" width="18.85546875" customWidth="1"/>
    <col min="5" max="5" width="21.42578125" bestFit="1" customWidth="1"/>
    <col min="9" max="9" width="24.7109375" customWidth="1"/>
  </cols>
  <sheetData>
    <row r="1" spans="2:10" ht="15.75" thickBot="1" x14ac:dyDescent="0.3"/>
    <row r="2" spans="2:10" x14ac:dyDescent="0.25">
      <c r="B2" s="22" t="s">
        <v>0</v>
      </c>
      <c r="C2" s="22" t="s">
        <v>1</v>
      </c>
      <c r="D2" s="22" t="s">
        <v>2</v>
      </c>
      <c r="E2" s="22" t="s">
        <v>3</v>
      </c>
      <c r="I2" s="55" t="s">
        <v>4</v>
      </c>
      <c r="J2" s="56">
        <v>1000000</v>
      </c>
    </row>
    <row r="3" spans="2:10" x14ac:dyDescent="0.25">
      <c r="B3" s="6" t="s">
        <v>5</v>
      </c>
      <c r="C3" s="16">
        <v>120000</v>
      </c>
      <c r="D3" s="21">
        <v>43930</v>
      </c>
      <c r="E3" s="11" t="s">
        <v>6</v>
      </c>
      <c r="I3" s="57" t="s">
        <v>7</v>
      </c>
      <c r="J3" s="58">
        <v>950000</v>
      </c>
    </row>
    <row r="4" spans="2:10" x14ac:dyDescent="0.25">
      <c r="B4" s="6" t="s">
        <v>8</v>
      </c>
      <c r="C4" s="11">
        <v>50000</v>
      </c>
      <c r="D4" s="21">
        <v>43959</v>
      </c>
      <c r="E4" s="11" t="s">
        <v>9</v>
      </c>
      <c r="I4" s="57" t="s">
        <v>10</v>
      </c>
      <c r="J4" s="58">
        <v>200000</v>
      </c>
    </row>
    <row r="5" spans="2:10" x14ac:dyDescent="0.25">
      <c r="B5" s="6" t="s">
        <v>11</v>
      </c>
      <c r="C5" s="97">
        <v>55000</v>
      </c>
      <c r="D5" s="21">
        <v>43993</v>
      </c>
      <c r="E5" s="11" t="s">
        <v>12</v>
      </c>
      <c r="I5" s="57" t="s">
        <v>13</v>
      </c>
      <c r="J5" s="58">
        <v>-650000</v>
      </c>
    </row>
    <row r="6" spans="2:10" x14ac:dyDescent="0.25">
      <c r="B6" s="6" t="s">
        <v>14</v>
      </c>
      <c r="C6" s="11">
        <v>100000</v>
      </c>
      <c r="D6" s="21">
        <v>44000</v>
      </c>
      <c r="E6" s="11" t="s">
        <v>15</v>
      </c>
      <c r="I6" s="57" t="s">
        <v>16</v>
      </c>
      <c r="J6" s="58">
        <v>350000</v>
      </c>
    </row>
    <row r="7" spans="2:10" x14ac:dyDescent="0.25">
      <c r="B7" s="6" t="s">
        <v>14</v>
      </c>
      <c r="C7" s="11">
        <v>50000</v>
      </c>
      <c r="D7" s="21">
        <v>44018</v>
      </c>
      <c r="E7" s="11" t="s">
        <v>15</v>
      </c>
      <c r="I7" s="57" t="s">
        <v>17</v>
      </c>
      <c r="J7" s="58">
        <v>50000</v>
      </c>
    </row>
    <row r="8" spans="2:10" x14ac:dyDescent="0.25">
      <c r="B8" s="11" t="s">
        <v>18</v>
      </c>
      <c r="C8" s="11">
        <v>50000</v>
      </c>
      <c r="D8" s="21">
        <v>44035</v>
      </c>
      <c r="E8" s="11" t="s">
        <v>19</v>
      </c>
      <c r="I8" s="57" t="s">
        <v>20</v>
      </c>
      <c r="J8" s="58">
        <f>C22</f>
        <v>2500000</v>
      </c>
    </row>
    <row r="9" spans="2:10" ht="15.75" thickBot="1" x14ac:dyDescent="0.3">
      <c r="B9" s="6" t="s">
        <v>8</v>
      </c>
      <c r="C9" s="11">
        <v>100000</v>
      </c>
      <c r="D9" s="21">
        <v>44044</v>
      </c>
      <c r="E9" s="11" t="s">
        <v>21</v>
      </c>
      <c r="I9" s="59" t="s">
        <v>22</v>
      </c>
      <c r="J9" s="60">
        <v>400000</v>
      </c>
    </row>
    <row r="10" spans="2:10" ht="15.75" thickBot="1" x14ac:dyDescent="0.3">
      <c r="B10" s="6" t="s">
        <v>14</v>
      </c>
      <c r="C10" s="11">
        <v>50000</v>
      </c>
      <c r="D10" s="21">
        <v>44583</v>
      </c>
      <c r="E10" s="11" t="s">
        <v>23</v>
      </c>
      <c r="I10" s="53" t="s">
        <v>24</v>
      </c>
      <c r="J10" s="54">
        <f>J8+J6+J5+J4+J3+J2+J7+J9</f>
        <v>4800000</v>
      </c>
    </row>
    <row r="11" spans="2:10" x14ac:dyDescent="0.25">
      <c r="B11" s="6" t="s">
        <v>14</v>
      </c>
      <c r="C11" s="11">
        <v>50000</v>
      </c>
      <c r="D11" s="21">
        <v>44623</v>
      </c>
      <c r="E11" s="11" t="s">
        <v>23</v>
      </c>
    </row>
    <row r="12" spans="2:10" x14ac:dyDescent="0.25">
      <c r="B12" s="6" t="s">
        <v>25</v>
      </c>
      <c r="C12" s="11">
        <v>1000000</v>
      </c>
      <c r="D12" s="21" t="s">
        <v>26</v>
      </c>
      <c r="E12" s="11" t="s">
        <v>27</v>
      </c>
    </row>
    <row r="13" spans="2:10" x14ac:dyDescent="0.25">
      <c r="B13" s="6" t="s">
        <v>28</v>
      </c>
      <c r="C13" s="11">
        <v>200000</v>
      </c>
      <c r="D13" s="21"/>
      <c r="E13" s="11" t="s">
        <v>29</v>
      </c>
    </row>
    <row r="14" spans="2:10" x14ac:dyDescent="0.25">
      <c r="B14" s="6" t="s">
        <v>30</v>
      </c>
      <c r="C14" s="11">
        <f>500000-C12</f>
        <v>-500000</v>
      </c>
      <c r="D14" s="21"/>
      <c r="E14" s="11" t="s">
        <v>409</v>
      </c>
    </row>
    <row r="15" spans="2:10" x14ac:dyDescent="0.25">
      <c r="B15" s="6" t="s">
        <v>372</v>
      </c>
      <c r="C15" s="11">
        <v>60000</v>
      </c>
      <c r="D15" s="21">
        <v>45664</v>
      </c>
      <c r="E15" s="11" t="s">
        <v>371</v>
      </c>
    </row>
    <row r="16" spans="2:10" x14ac:dyDescent="0.25">
      <c r="B16" s="6" t="s">
        <v>407</v>
      </c>
      <c r="C16" s="11">
        <v>400000</v>
      </c>
      <c r="D16" s="21">
        <v>45799</v>
      </c>
      <c r="E16" s="11" t="s">
        <v>408</v>
      </c>
    </row>
    <row r="17" spans="2:5" x14ac:dyDescent="0.25">
      <c r="B17" s="6" t="s">
        <v>448</v>
      </c>
      <c r="C17" s="11">
        <v>700000</v>
      </c>
      <c r="D17" s="21">
        <v>46030</v>
      </c>
      <c r="E17" s="11" t="s">
        <v>449</v>
      </c>
    </row>
    <row r="18" spans="2:5" x14ac:dyDescent="0.25">
      <c r="B18" s="6" t="s">
        <v>450</v>
      </c>
      <c r="C18" s="11">
        <v>60000</v>
      </c>
      <c r="D18" s="21">
        <v>46090</v>
      </c>
      <c r="E18" s="11" t="s">
        <v>451</v>
      </c>
    </row>
    <row r="19" spans="2:5" x14ac:dyDescent="0.25">
      <c r="B19" s="6" t="s">
        <v>452</v>
      </c>
      <c r="C19" s="11">
        <v>130000</v>
      </c>
      <c r="D19" s="21">
        <v>46107</v>
      </c>
      <c r="E19" s="11" t="s">
        <v>451</v>
      </c>
    </row>
    <row r="20" spans="2:5" x14ac:dyDescent="0.25">
      <c r="B20" s="51"/>
      <c r="D20" s="1"/>
    </row>
    <row r="21" spans="2:5" x14ac:dyDescent="0.25">
      <c r="C21">
        <f>SUM(C3:C19)</f>
        <v>2675000</v>
      </c>
    </row>
    <row r="22" spans="2:5" x14ac:dyDescent="0.25">
      <c r="B22" s="51" t="s">
        <v>31</v>
      </c>
      <c r="C22" s="52">
        <f>C21-C3-C5</f>
        <v>2500000</v>
      </c>
    </row>
    <row r="24" spans="2:5" x14ac:dyDescent="0.25">
      <c r="B24" s="84" t="s">
        <v>32</v>
      </c>
      <c r="C24" s="84">
        <v>1500000</v>
      </c>
      <c r="E24" s="1"/>
    </row>
    <row r="39" spans="10:10" x14ac:dyDescent="0.25">
      <c r="J39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0"/>
  <sheetViews>
    <sheetView workbookViewId="0">
      <selection activeCell="D24" sqref="D24"/>
    </sheetView>
  </sheetViews>
  <sheetFormatPr defaultRowHeight="15" x14ac:dyDescent="0.25"/>
  <cols>
    <col min="2" max="2" width="63.140625" customWidth="1"/>
    <col min="3" max="3" width="12.42578125" bestFit="1" customWidth="1"/>
    <col min="4" max="4" width="22.7109375" customWidth="1"/>
    <col min="6" max="6" width="23.7109375" bestFit="1" customWidth="1"/>
    <col min="7" max="7" width="23.7109375" customWidth="1"/>
    <col min="16" max="16" width="20.5703125" bestFit="1" customWidth="1"/>
    <col min="17" max="17" width="24.42578125" bestFit="1" customWidth="1"/>
    <col min="18" max="18" width="15.7109375" bestFit="1" customWidth="1"/>
  </cols>
  <sheetData>
    <row r="1" spans="2:18" x14ac:dyDescent="0.25">
      <c r="B1" s="3"/>
    </row>
    <row r="2" spans="2:18" ht="15.75" thickBot="1" x14ac:dyDescent="0.3">
      <c r="Q2" s="2" t="s">
        <v>33</v>
      </c>
    </row>
    <row r="3" spans="2:18" ht="15.75" thickBot="1" x14ac:dyDescent="0.3">
      <c r="F3" s="98" t="s">
        <v>34</v>
      </c>
      <c r="G3" s="99"/>
      <c r="H3" s="100"/>
    </row>
    <row r="4" spans="2:18" x14ac:dyDescent="0.25">
      <c r="B4" s="10" t="s">
        <v>35</v>
      </c>
      <c r="C4" s="9" t="s">
        <v>36</v>
      </c>
      <c r="F4" s="101" t="s">
        <v>37</v>
      </c>
      <c r="G4" s="101"/>
      <c r="H4" s="101"/>
      <c r="Q4" s="10" t="s">
        <v>35</v>
      </c>
      <c r="R4" s="9" t="s">
        <v>38</v>
      </c>
    </row>
    <row r="5" spans="2:18" x14ac:dyDescent="0.25">
      <c r="B5" s="6" t="s">
        <v>39</v>
      </c>
      <c r="C5" s="7">
        <v>43275</v>
      </c>
      <c r="F5" s="108" t="s">
        <v>40</v>
      </c>
      <c r="G5" s="109"/>
      <c r="H5" s="26">
        <v>80000</v>
      </c>
      <c r="Q5" s="6" t="s">
        <v>41</v>
      </c>
      <c r="R5" s="7">
        <v>42957</v>
      </c>
    </row>
    <row r="6" spans="2:18" x14ac:dyDescent="0.25">
      <c r="B6" s="6" t="s">
        <v>42</v>
      </c>
      <c r="C6" s="9">
        <v>500000</v>
      </c>
      <c r="D6" t="s">
        <v>43</v>
      </c>
      <c r="F6" s="28" t="s">
        <v>44</v>
      </c>
      <c r="G6" s="28" t="s">
        <v>45</v>
      </c>
      <c r="H6" s="28" t="s">
        <v>46</v>
      </c>
      <c r="Q6" s="6" t="s">
        <v>42</v>
      </c>
      <c r="R6" s="9">
        <v>500000</v>
      </c>
    </row>
    <row r="7" spans="2:18" x14ac:dyDescent="0.25">
      <c r="B7" s="6" t="s">
        <v>47</v>
      </c>
      <c r="C7" s="4">
        <v>2</v>
      </c>
      <c r="F7" s="29">
        <v>43249</v>
      </c>
      <c r="G7" s="28">
        <v>80000</v>
      </c>
      <c r="H7" s="28">
        <v>1</v>
      </c>
      <c r="Q7" s="6" t="s">
        <v>47</v>
      </c>
      <c r="R7" s="4">
        <v>4</v>
      </c>
    </row>
    <row r="8" spans="2:18" x14ac:dyDescent="0.25">
      <c r="B8" s="6" t="s">
        <v>48</v>
      </c>
      <c r="C8" s="4">
        <f>(C6*C7)/100</f>
        <v>10000</v>
      </c>
      <c r="F8" s="29">
        <v>43258</v>
      </c>
      <c r="G8" s="28">
        <v>80000</v>
      </c>
      <c r="H8" s="28">
        <v>2</v>
      </c>
      <c r="Q8" s="6" t="s">
        <v>48</v>
      </c>
      <c r="R8" s="4">
        <f>(R6*R7)/100</f>
        <v>20000</v>
      </c>
    </row>
    <row r="9" spans="2:18" x14ac:dyDescent="0.25">
      <c r="B9" s="6" t="s">
        <v>49</v>
      </c>
      <c r="C9" s="7">
        <v>45771</v>
      </c>
      <c r="F9" s="29">
        <v>43286</v>
      </c>
      <c r="G9" s="28">
        <v>80000</v>
      </c>
      <c r="H9" s="28">
        <v>3</v>
      </c>
      <c r="Q9" s="6" t="s">
        <v>49</v>
      </c>
      <c r="R9" s="7">
        <v>43321</v>
      </c>
    </row>
    <row r="10" spans="2:18" x14ac:dyDescent="0.25">
      <c r="B10" s="6" t="s">
        <v>50</v>
      </c>
      <c r="C10" s="8">
        <v>82</v>
      </c>
      <c r="F10" s="29">
        <v>43318</v>
      </c>
      <c r="G10" s="28">
        <v>80000</v>
      </c>
      <c r="H10" s="28">
        <v>4</v>
      </c>
      <c r="Q10" s="6" t="s">
        <v>51</v>
      </c>
      <c r="R10" s="8">
        <v>12</v>
      </c>
    </row>
    <row r="11" spans="2:18" x14ac:dyDescent="0.25">
      <c r="B11" s="6" t="s">
        <v>52</v>
      </c>
      <c r="C11" s="4">
        <f>C6+(C10*C8)</f>
        <v>1320000</v>
      </c>
      <c r="F11" s="29">
        <v>43349</v>
      </c>
      <c r="G11" s="28">
        <v>80000</v>
      </c>
      <c r="H11" s="28">
        <v>5</v>
      </c>
      <c r="I11" t="s">
        <v>53</v>
      </c>
      <c r="Q11" s="6" t="s">
        <v>52</v>
      </c>
      <c r="R11" s="4">
        <f>R6+(R10*R8)</f>
        <v>740000</v>
      </c>
    </row>
    <row r="12" spans="2:18" x14ac:dyDescent="0.25">
      <c r="B12" s="14" t="s">
        <v>54</v>
      </c>
      <c r="C12" s="14">
        <v>98000</v>
      </c>
      <c r="D12" s="2" t="s">
        <v>55</v>
      </c>
      <c r="F12" s="29">
        <v>43377</v>
      </c>
      <c r="G12" s="28">
        <v>80000</v>
      </c>
      <c r="H12" s="28">
        <v>6</v>
      </c>
      <c r="I12" t="s">
        <v>56</v>
      </c>
      <c r="R12" s="2" t="s">
        <v>57</v>
      </c>
    </row>
    <row r="13" spans="2:18" x14ac:dyDescent="0.25">
      <c r="B13" s="14" t="s">
        <v>58</v>
      </c>
      <c r="C13" s="14">
        <v>75000</v>
      </c>
      <c r="D13" s="2" t="s">
        <v>59</v>
      </c>
      <c r="F13" s="29"/>
      <c r="G13" s="28"/>
      <c r="H13" s="28"/>
      <c r="R13" s="2"/>
    </row>
    <row r="14" spans="2:18" x14ac:dyDescent="0.25">
      <c r="B14" s="43" t="s">
        <v>60</v>
      </c>
      <c r="C14" s="44">
        <f>C11-C12-C13</f>
        <v>1147000</v>
      </c>
      <c r="F14" s="29" t="s">
        <v>61</v>
      </c>
      <c r="G14" s="28">
        <v>80000</v>
      </c>
      <c r="H14" s="28">
        <v>7</v>
      </c>
      <c r="I14" t="s">
        <v>62</v>
      </c>
    </row>
    <row r="15" spans="2:18" x14ac:dyDescent="0.25">
      <c r="B15" s="13" t="s">
        <v>63</v>
      </c>
      <c r="C15" s="13">
        <v>350000</v>
      </c>
      <c r="F15" s="29">
        <v>43441</v>
      </c>
      <c r="G15" s="28">
        <v>80000</v>
      </c>
      <c r="H15" s="28">
        <v>8</v>
      </c>
      <c r="Q15" s="10" t="s">
        <v>35</v>
      </c>
      <c r="R15" s="9" t="s">
        <v>38</v>
      </c>
    </row>
    <row r="16" spans="2:18" x14ac:dyDescent="0.25">
      <c r="B16" s="13" t="s">
        <v>404</v>
      </c>
      <c r="C16" s="13">
        <v>200000</v>
      </c>
      <c r="F16" s="29">
        <v>43471</v>
      </c>
      <c r="G16" s="28">
        <v>80000</v>
      </c>
      <c r="H16" s="28">
        <v>9</v>
      </c>
      <c r="I16" t="s">
        <v>64</v>
      </c>
      <c r="Q16" s="6" t="s">
        <v>41</v>
      </c>
      <c r="R16" s="7">
        <v>43322</v>
      </c>
    </row>
    <row r="17" spans="2:18" x14ac:dyDescent="0.25">
      <c r="B17" s="15" t="s">
        <v>60</v>
      </c>
      <c r="C17" s="16">
        <f>C11-C12-C13-C15-C16</f>
        <v>597000</v>
      </c>
      <c r="F17" s="29">
        <v>43504</v>
      </c>
      <c r="G17" s="28">
        <v>80000</v>
      </c>
      <c r="H17" s="28">
        <v>10</v>
      </c>
      <c r="I17" t="s">
        <v>65</v>
      </c>
      <c r="Q17" s="6" t="s">
        <v>42</v>
      </c>
      <c r="R17" s="9">
        <v>640000</v>
      </c>
    </row>
    <row r="18" spans="2:18" x14ac:dyDescent="0.25">
      <c r="F18" s="29">
        <v>43532</v>
      </c>
      <c r="G18" s="28">
        <v>80000</v>
      </c>
      <c r="H18" s="28">
        <v>11</v>
      </c>
      <c r="I18" t="s">
        <v>65</v>
      </c>
      <c r="Q18" s="6" t="s">
        <v>47</v>
      </c>
      <c r="R18" s="4">
        <v>4</v>
      </c>
    </row>
    <row r="19" spans="2:18" x14ac:dyDescent="0.25">
      <c r="F19" s="29">
        <v>43563</v>
      </c>
      <c r="G19" s="28">
        <v>80000</v>
      </c>
      <c r="H19" s="28">
        <v>12</v>
      </c>
      <c r="I19" t="s">
        <v>65</v>
      </c>
      <c r="Q19" s="6" t="s">
        <v>48</v>
      </c>
      <c r="R19" s="4">
        <f>(R17*R18)/100</f>
        <v>25600</v>
      </c>
    </row>
    <row r="20" spans="2:18" x14ac:dyDescent="0.25">
      <c r="F20" s="29">
        <v>43593</v>
      </c>
      <c r="G20" s="28">
        <v>80000</v>
      </c>
      <c r="H20" s="28">
        <v>13</v>
      </c>
      <c r="I20" t="s">
        <v>65</v>
      </c>
      <c r="Q20" s="6" t="s">
        <v>49</v>
      </c>
      <c r="R20" s="7">
        <v>43747</v>
      </c>
    </row>
    <row r="21" spans="2:18" x14ac:dyDescent="0.25">
      <c r="F21" s="30">
        <v>43624</v>
      </c>
      <c r="G21" s="31">
        <v>80000</v>
      </c>
      <c r="H21" s="28">
        <v>14</v>
      </c>
      <c r="I21" t="s">
        <v>66</v>
      </c>
      <c r="Q21" s="6" t="s">
        <v>51</v>
      </c>
      <c r="R21" s="8">
        <v>14</v>
      </c>
    </row>
    <row r="22" spans="2:18" x14ac:dyDescent="0.25">
      <c r="F22" s="29">
        <v>43654</v>
      </c>
      <c r="G22" s="28">
        <v>80000</v>
      </c>
      <c r="H22" s="28">
        <v>15</v>
      </c>
      <c r="I22" t="s">
        <v>65</v>
      </c>
      <c r="Q22" s="6" t="s">
        <v>52</v>
      </c>
      <c r="R22" s="4">
        <f>R17+(R21*R19)</f>
        <v>998400</v>
      </c>
    </row>
    <row r="23" spans="2:18" x14ac:dyDescent="0.25">
      <c r="F23" s="30">
        <v>43685</v>
      </c>
      <c r="G23" s="31">
        <v>80000</v>
      </c>
      <c r="H23" s="28">
        <v>16</v>
      </c>
      <c r="I23" t="s">
        <v>67</v>
      </c>
    </row>
    <row r="24" spans="2:18" x14ac:dyDescent="0.25">
      <c r="F24" s="30">
        <v>43716</v>
      </c>
      <c r="G24" s="31">
        <v>80000</v>
      </c>
      <c r="H24" s="28">
        <v>17</v>
      </c>
      <c r="I24" t="s">
        <v>67</v>
      </c>
    </row>
    <row r="25" spans="2:18" x14ac:dyDescent="0.25">
      <c r="F25" s="29">
        <v>43746</v>
      </c>
      <c r="G25" s="28">
        <v>90000</v>
      </c>
      <c r="H25" s="28">
        <v>18</v>
      </c>
      <c r="I25" t="s">
        <v>68</v>
      </c>
      <c r="P25" s="102" t="s">
        <v>69</v>
      </c>
      <c r="Q25" s="102"/>
      <c r="R25" s="102"/>
    </row>
    <row r="26" spans="2:18" x14ac:dyDescent="0.25">
      <c r="F26" s="29">
        <v>43777</v>
      </c>
      <c r="G26" s="28">
        <v>90000</v>
      </c>
      <c r="H26" s="28">
        <v>19</v>
      </c>
      <c r="I26" t="s">
        <v>68</v>
      </c>
      <c r="P26" s="13" t="s">
        <v>35</v>
      </c>
      <c r="Q26" s="9" t="s">
        <v>70</v>
      </c>
      <c r="R26" s="9" t="s">
        <v>71</v>
      </c>
    </row>
    <row r="27" spans="2:18" x14ac:dyDescent="0.25">
      <c r="F27" s="29">
        <v>43805</v>
      </c>
      <c r="G27" s="28">
        <v>90000</v>
      </c>
      <c r="H27" s="28">
        <v>20</v>
      </c>
      <c r="I27" t="s">
        <v>72</v>
      </c>
      <c r="P27" s="105" t="s">
        <v>73</v>
      </c>
      <c r="Q27" s="11" t="s">
        <v>74</v>
      </c>
      <c r="R27" s="11">
        <v>180</v>
      </c>
    </row>
    <row r="28" spans="2:18" x14ac:dyDescent="0.25">
      <c r="B28" s="46" t="s">
        <v>35</v>
      </c>
      <c r="C28" s="40" t="s">
        <v>38</v>
      </c>
      <c r="F28" s="32"/>
      <c r="G28" s="31">
        <v>90000</v>
      </c>
      <c r="H28" s="28">
        <v>21</v>
      </c>
      <c r="I28" t="s">
        <v>75</v>
      </c>
      <c r="P28" s="106"/>
      <c r="Q28" s="11" t="s">
        <v>76</v>
      </c>
      <c r="R28" s="11">
        <v>100</v>
      </c>
    </row>
    <row r="29" spans="2:18" x14ac:dyDescent="0.25">
      <c r="B29" s="37" t="s">
        <v>41</v>
      </c>
      <c r="C29" s="38">
        <v>42957</v>
      </c>
      <c r="F29" s="32"/>
      <c r="G29" s="31">
        <v>90000</v>
      </c>
      <c r="H29" s="28">
        <v>22</v>
      </c>
      <c r="I29" t="s">
        <v>75</v>
      </c>
      <c r="P29" s="107"/>
      <c r="Q29" s="11" t="s">
        <v>77</v>
      </c>
      <c r="R29" s="11">
        <v>50</v>
      </c>
    </row>
    <row r="30" spans="2:18" x14ac:dyDescent="0.25">
      <c r="B30" s="37" t="s">
        <v>42</v>
      </c>
      <c r="C30" s="40">
        <v>500000</v>
      </c>
      <c r="F30" s="30">
        <v>43896</v>
      </c>
      <c r="G30" s="31">
        <v>90000</v>
      </c>
      <c r="H30" s="28">
        <v>23</v>
      </c>
      <c r="I30" t="s">
        <v>75</v>
      </c>
      <c r="P30" s="11" t="s">
        <v>78</v>
      </c>
      <c r="Q30" s="11" t="s">
        <v>79</v>
      </c>
      <c r="R30" s="11">
        <v>15</v>
      </c>
    </row>
    <row r="31" spans="2:18" x14ac:dyDescent="0.25">
      <c r="B31" s="37" t="s">
        <v>47</v>
      </c>
      <c r="C31" s="28">
        <v>4</v>
      </c>
      <c r="F31" s="29">
        <v>43929</v>
      </c>
      <c r="G31" s="28">
        <v>90000</v>
      </c>
      <c r="H31" s="28">
        <v>24</v>
      </c>
      <c r="I31" t="s">
        <v>65</v>
      </c>
      <c r="P31" s="11" t="s">
        <v>36</v>
      </c>
      <c r="Q31" s="11" t="s">
        <v>80</v>
      </c>
      <c r="R31" s="11">
        <v>60</v>
      </c>
    </row>
    <row r="32" spans="2:18" x14ac:dyDescent="0.25">
      <c r="B32" s="37" t="s">
        <v>48</v>
      </c>
      <c r="C32" s="28">
        <f>(C30*C31)/100</f>
        <v>20000</v>
      </c>
      <c r="F32" s="33">
        <v>43959</v>
      </c>
      <c r="G32" s="28">
        <v>90000</v>
      </c>
      <c r="H32" s="28">
        <v>25</v>
      </c>
      <c r="I32" t="s">
        <v>65</v>
      </c>
      <c r="P32" s="11" t="s">
        <v>81</v>
      </c>
      <c r="Q32" s="11" t="s">
        <v>82</v>
      </c>
      <c r="R32" s="11">
        <v>45</v>
      </c>
    </row>
    <row r="33" spans="2:18" x14ac:dyDescent="0.25">
      <c r="B33" s="37" t="s">
        <v>49</v>
      </c>
      <c r="C33" s="38">
        <v>44296</v>
      </c>
      <c r="F33" s="102" t="s">
        <v>83</v>
      </c>
      <c r="G33" s="102"/>
      <c r="H33" s="102"/>
      <c r="P33" s="11" t="s">
        <v>84</v>
      </c>
      <c r="Q33" s="11" t="s">
        <v>85</v>
      </c>
      <c r="R33" s="11">
        <v>100</v>
      </c>
    </row>
    <row r="34" spans="2:18" x14ac:dyDescent="0.25">
      <c r="B34" s="37" t="s">
        <v>51</v>
      </c>
      <c r="C34" s="41">
        <v>44</v>
      </c>
      <c r="F34" s="110" t="s">
        <v>40</v>
      </c>
      <c r="G34" s="111"/>
      <c r="H34" s="4">
        <v>80000</v>
      </c>
      <c r="P34" s="11" t="s">
        <v>86</v>
      </c>
      <c r="Q34" s="11" t="s">
        <v>87</v>
      </c>
      <c r="R34" s="11">
        <v>15</v>
      </c>
    </row>
    <row r="35" spans="2:18" x14ac:dyDescent="0.25">
      <c r="B35" s="37" t="s">
        <v>52</v>
      </c>
      <c r="C35" s="28">
        <f>C30+(C34*C32)</f>
        <v>1380000</v>
      </c>
      <c r="D35" s="45" t="s">
        <v>89</v>
      </c>
      <c r="F35" s="4" t="s">
        <v>44</v>
      </c>
      <c r="G35" s="4" t="s">
        <v>45</v>
      </c>
      <c r="H35" s="4" t="s">
        <v>46</v>
      </c>
      <c r="P35" s="11" t="s">
        <v>90</v>
      </c>
      <c r="Q35" s="11" t="s">
        <v>87</v>
      </c>
      <c r="R35" s="11">
        <v>15</v>
      </c>
    </row>
    <row r="36" spans="2:18" x14ac:dyDescent="0.25">
      <c r="B36" s="32" t="s">
        <v>88</v>
      </c>
      <c r="C36" s="42">
        <v>200000</v>
      </c>
      <c r="F36" s="5" t="s">
        <v>92</v>
      </c>
      <c r="G36" s="4">
        <v>40000</v>
      </c>
      <c r="H36" s="4">
        <v>1</v>
      </c>
      <c r="I36" t="s">
        <v>93</v>
      </c>
      <c r="P36" s="11" t="s">
        <v>94</v>
      </c>
      <c r="Q36" s="11" t="s">
        <v>95</v>
      </c>
      <c r="R36" s="11">
        <v>25</v>
      </c>
    </row>
    <row r="37" spans="2:18" x14ac:dyDescent="0.25">
      <c r="B37" s="32" t="s">
        <v>91</v>
      </c>
      <c r="C37" s="63">
        <v>600000</v>
      </c>
      <c r="D37" s="45" t="s">
        <v>97</v>
      </c>
      <c r="F37" s="5">
        <v>43809</v>
      </c>
      <c r="G37" s="4">
        <v>80000</v>
      </c>
      <c r="H37" s="4">
        <v>2</v>
      </c>
      <c r="I37" t="s">
        <v>98</v>
      </c>
      <c r="P37" s="11" t="s">
        <v>99</v>
      </c>
      <c r="Q37" s="11" t="s">
        <v>100</v>
      </c>
      <c r="R37" s="11">
        <v>70</v>
      </c>
    </row>
    <row r="38" spans="2:18" x14ac:dyDescent="0.25">
      <c r="B38" s="43" t="s">
        <v>96</v>
      </c>
      <c r="C38" s="44">
        <f>C35-C36-C37</f>
        <v>580000</v>
      </c>
      <c r="F38" s="11"/>
      <c r="G38" s="20" t="s">
        <v>92</v>
      </c>
      <c r="H38" s="4">
        <v>3</v>
      </c>
      <c r="I38" t="s">
        <v>101</v>
      </c>
      <c r="P38" s="11" t="s">
        <v>102</v>
      </c>
      <c r="Q38" s="11" t="s">
        <v>95</v>
      </c>
      <c r="R38" s="11">
        <v>20</v>
      </c>
    </row>
    <row r="39" spans="2:18" x14ac:dyDescent="0.25">
      <c r="F39" s="11"/>
      <c r="G39" s="4">
        <v>40000</v>
      </c>
      <c r="H39" s="4">
        <v>4</v>
      </c>
      <c r="I39" t="s">
        <v>93</v>
      </c>
      <c r="P39" s="11" t="s">
        <v>103</v>
      </c>
      <c r="Q39" s="11" t="s">
        <v>104</v>
      </c>
      <c r="R39" s="11">
        <v>50</v>
      </c>
    </row>
    <row r="40" spans="2:18" x14ac:dyDescent="0.25">
      <c r="B40" s="61"/>
      <c r="D40" s="62" t="s">
        <v>106</v>
      </c>
      <c r="F40" s="11"/>
      <c r="G40" s="20"/>
      <c r="H40" s="11"/>
      <c r="P40" s="11" t="s">
        <v>107</v>
      </c>
      <c r="Q40" s="11" t="s">
        <v>108</v>
      </c>
      <c r="R40" s="11">
        <v>30</v>
      </c>
    </row>
    <row r="41" spans="2:18" x14ac:dyDescent="0.25">
      <c r="B41" s="77" t="s">
        <v>105</v>
      </c>
      <c r="C41" s="62">
        <v>200000</v>
      </c>
      <c r="D41" s="62" t="s">
        <v>109</v>
      </c>
      <c r="F41" s="11"/>
      <c r="G41" s="20"/>
      <c r="H41" s="11"/>
      <c r="P41" s="11" t="s">
        <v>110</v>
      </c>
      <c r="Q41" s="11" t="s">
        <v>111</v>
      </c>
      <c r="R41" s="11">
        <v>70</v>
      </c>
    </row>
    <row r="42" spans="2:18" x14ac:dyDescent="0.25">
      <c r="B42" s="77"/>
      <c r="C42" s="62">
        <v>300000</v>
      </c>
      <c r="D42" s="62" t="s">
        <v>106</v>
      </c>
      <c r="F42" s="11"/>
      <c r="G42" s="20"/>
      <c r="H42" s="11"/>
      <c r="P42" s="11" t="s">
        <v>112</v>
      </c>
      <c r="Q42" s="11" t="s">
        <v>113</v>
      </c>
      <c r="R42" s="11">
        <v>30</v>
      </c>
    </row>
    <row r="43" spans="2:18" x14ac:dyDescent="0.25">
      <c r="B43" s="77"/>
      <c r="C43" s="62">
        <v>600000</v>
      </c>
      <c r="F43" s="11"/>
      <c r="G43" s="20"/>
      <c r="H43" s="11"/>
      <c r="P43" s="11" t="s">
        <v>114</v>
      </c>
      <c r="Q43" s="11" t="s">
        <v>115</v>
      </c>
      <c r="R43" s="11">
        <v>20</v>
      </c>
    </row>
    <row r="44" spans="2:18" x14ac:dyDescent="0.25">
      <c r="F44" s="11"/>
      <c r="G44" s="20"/>
      <c r="H44" s="11"/>
      <c r="P44" s="11" t="s">
        <v>116</v>
      </c>
      <c r="Q44" s="11" t="s">
        <v>87</v>
      </c>
      <c r="R44" s="11">
        <v>15</v>
      </c>
    </row>
    <row r="45" spans="2:18" x14ac:dyDescent="0.25">
      <c r="D45" t="s">
        <v>117</v>
      </c>
      <c r="F45" s="11"/>
      <c r="G45" s="20"/>
      <c r="H45" s="11"/>
      <c r="P45" s="11" t="s">
        <v>118</v>
      </c>
      <c r="Q45" s="11" t="s">
        <v>119</v>
      </c>
      <c r="R45" s="11">
        <v>20</v>
      </c>
    </row>
    <row r="46" spans="2:18" x14ac:dyDescent="0.25">
      <c r="F46" s="11"/>
      <c r="G46" s="20"/>
      <c r="H46" s="11"/>
      <c r="P46" s="11" t="s">
        <v>120</v>
      </c>
      <c r="Q46" s="11" t="s">
        <v>119</v>
      </c>
      <c r="R46" s="11">
        <v>20</v>
      </c>
    </row>
    <row r="47" spans="2:18" x14ac:dyDescent="0.25">
      <c r="F47" s="11"/>
      <c r="G47" s="20"/>
      <c r="H47" s="11"/>
      <c r="P47" s="11" t="s">
        <v>122</v>
      </c>
      <c r="Q47" s="11" t="s">
        <v>123</v>
      </c>
      <c r="R47" s="11">
        <v>30</v>
      </c>
    </row>
    <row r="48" spans="2:18" x14ac:dyDescent="0.25">
      <c r="B48" s="75" t="s">
        <v>121</v>
      </c>
      <c r="C48" s="76"/>
      <c r="F48" s="11"/>
      <c r="G48" s="20"/>
      <c r="H48" s="11"/>
      <c r="P48" s="11" t="s">
        <v>124</v>
      </c>
      <c r="Q48" s="11" t="s">
        <v>125</v>
      </c>
      <c r="R48" s="11">
        <f>20+15+15</f>
        <v>50</v>
      </c>
    </row>
    <row r="49" spans="1:18" x14ac:dyDescent="0.25">
      <c r="B49" s="23" t="s">
        <v>39</v>
      </c>
      <c r="C49" s="24">
        <v>43565</v>
      </c>
      <c r="F49" s="11"/>
      <c r="G49" s="20"/>
      <c r="H49" s="11"/>
      <c r="P49" s="11" t="s">
        <v>126</v>
      </c>
      <c r="Q49" s="11" t="s">
        <v>127</v>
      </c>
      <c r="R49" s="11">
        <f>15+15</f>
        <v>30</v>
      </c>
    </row>
    <row r="50" spans="1:18" x14ac:dyDescent="0.25">
      <c r="B50" s="23" t="s">
        <v>42</v>
      </c>
      <c r="C50" s="25">
        <v>200000</v>
      </c>
      <c r="F50" s="11"/>
      <c r="G50" s="20"/>
      <c r="H50" s="11"/>
      <c r="P50" s="11" t="s">
        <v>128</v>
      </c>
      <c r="Q50" s="11" t="s">
        <v>129</v>
      </c>
      <c r="R50" s="11">
        <v>60</v>
      </c>
    </row>
    <row r="51" spans="1:18" ht="15.75" thickBot="1" x14ac:dyDescent="0.3">
      <c r="B51" s="23" t="s">
        <v>47</v>
      </c>
      <c r="C51" s="26">
        <v>2</v>
      </c>
      <c r="P51" s="11" t="s">
        <v>130</v>
      </c>
      <c r="Q51" s="11" t="s">
        <v>87</v>
      </c>
      <c r="R51" s="11">
        <v>15</v>
      </c>
    </row>
    <row r="52" spans="1:18" x14ac:dyDescent="0.25">
      <c r="A52" s="17"/>
      <c r="B52" s="23" t="s">
        <v>48</v>
      </c>
      <c r="C52" s="26">
        <f>(C50*C51)/100</f>
        <v>4000</v>
      </c>
      <c r="P52" s="11" t="s">
        <v>132</v>
      </c>
      <c r="Q52" s="11" t="s">
        <v>133</v>
      </c>
      <c r="R52" s="11">
        <v>15</v>
      </c>
    </row>
    <row r="53" spans="1:18" x14ac:dyDescent="0.25">
      <c r="A53" s="18"/>
      <c r="B53" s="23" t="s">
        <v>131</v>
      </c>
      <c r="C53" s="24">
        <v>43656</v>
      </c>
      <c r="P53" s="11" t="s">
        <v>134</v>
      </c>
      <c r="Q53" s="11" t="s">
        <v>133</v>
      </c>
      <c r="R53" s="11">
        <v>5</v>
      </c>
    </row>
    <row r="54" spans="1:18" x14ac:dyDescent="0.25">
      <c r="A54" s="18"/>
      <c r="B54" s="23" t="s">
        <v>50</v>
      </c>
      <c r="C54" s="27">
        <v>3</v>
      </c>
      <c r="P54" s="11" t="s">
        <v>135</v>
      </c>
      <c r="Q54" s="11"/>
      <c r="R54" s="11">
        <v>150</v>
      </c>
    </row>
    <row r="55" spans="1:18" x14ac:dyDescent="0.25">
      <c r="A55" s="18"/>
      <c r="B55" s="23" t="s">
        <v>52</v>
      </c>
      <c r="C55" s="26">
        <f>C50+(C54*C52)</f>
        <v>212000</v>
      </c>
      <c r="R55" s="13">
        <f>SUM(R27:R54)</f>
        <v>1305</v>
      </c>
    </row>
    <row r="56" spans="1:18" x14ac:dyDescent="0.25">
      <c r="A56" s="18"/>
    </row>
    <row r="57" spans="1:18" x14ac:dyDescent="0.25">
      <c r="A57" s="18"/>
      <c r="P57" s="103" t="s">
        <v>136</v>
      </c>
      <c r="Q57" s="104"/>
    </row>
    <row r="58" spans="1:18" x14ac:dyDescent="0.25">
      <c r="A58" s="18"/>
      <c r="P58" s="11" t="s">
        <v>137</v>
      </c>
      <c r="Q58" s="11">
        <v>1300</v>
      </c>
    </row>
    <row r="59" spans="1:18" x14ac:dyDescent="0.25">
      <c r="A59" s="18"/>
      <c r="P59" s="11" t="s">
        <v>138</v>
      </c>
      <c r="Q59" s="11">
        <v>100</v>
      </c>
      <c r="R59" t="s">
        <v>139</v>
      </c>
    </row>
    <row r="60" spans="1:18" x14ac:dyDescent="0.25">
      <c r="A60" s="18"/>
      <c r="Q60" s="13">
        <f>SUM(Q58:Q59)</f>
        <v>1400</v>
      </c>
    </row>
    <row r="61" spans="1:18" x14ac:dyDescent="0.25">
      <c r="A61" s="18"/>
    </row>
    <row r="62" spans="1:18" ht="15.75" thickBot="1" x14ac:dyDescent="0.3">
      <c r="A62" s="18"/>
      <c r="P62" s="2" t="s">
        <v>140</v>
      </c>
      <c r="R62" s="2">
        <f>Q60+R55</f>
        <v>2705</v>
      </c>
    </row>
    <row r="63" spans="1:18" ht="15.75" thickBot="1" x14ac:dyDescent="0.3">
      <c r="A63" s="18"/>
      <c r="D63" s="36"/>
    </row>
    <row r="64" spans="1:18" x14ac:dyDescent="0.25">
      <c r="A64" s="18"/>
      <c r="B64" s="34" t="s">
        <v>35</v>
      </c>
      <c r="C64" s="35" t="s">
        <v>38</v>
      </c>
      <c r="D64" s="39"/>
    </row>
    <row r="65" spans="1:4" x14ac:dyDescent="0.25">
      <c r="A65" s="18"/>
      <c r="B65" s="37" t="s">
        <v>41</v>
      </c>
      <c r="C65" s="38">
        <v>42957</v>
      </c>
      <c r="D65" s="39"/>
    </row>
    <row r="66" spans="1:4" x14ac:dyDescent="0.25">
      <c r="A66" s="18"/>
      <c r="B66" s="37" t="s">
        <v>42</v>
      </c>
      <c r="C66" s="40">
        <v>500000</v>
      </c>
      <c r="D66" s="39"/>
    </row>
    <row r="67" spans="1:4" x14ac:dyDescent="0.25">
      <c r="A67" s="18"/>
      <c r="B67" s="37" t="s">
        <v>47</v>
      </c>
      <c r="C67" s="28">
        <v>4</v>
      </c>
      <c r="D67" s="39"/>
    </row>
    <row r="68" spans="1:4" ht="15" customHeight="1" x14ac:dyDescent="0.25">
      <c r="A68" s="18"/>
      <c r="B68" s="37" t="s">
        <v>48</v>
      </c>
      <c r="C68" s="28">
        <f>(C66*C67)/100</f>
        <v>20000</v>
      </c>
      <c r="D68" s="39"/>
    </row>
    <row r="69" spans="1:4" x14ac:dyDescent="0.25">
      <c r="A69" s="18"/>
      <c r="B69" s="37" t="s">
        <v>49</v>
      </c>
      <c r="C69" s="38">
        <v>43779</v>
      </c>
      <c r="D69" s="39"/>
    </row>
    <row r="70" spans="1:4" x14ac:dyDescent="0.25">
      <c r="A70" s="18"/>
      <c r="B70" s="37" t="s">
        <v>51</v>
      </c>
      <c r="C70" s="41">
        <v>27</v>
      </c>
      <c r="D70" s="39"/>
    </row>
    <row r="71" spans="1:4" x14ac:dyDescent="0.25">
      <c r="A71" s="18"/>
      <c r="B71" s="37" t="s">
        <v>52</v>
      </c>
      <c r="C71" s="28">
        <f>C66+(C70*C68)</f>
        <v>1040000</v>
      </c>
      <c r="D71" s="39" t="s">
        <v>89</v>
      </c>
    </row>
    <row r="72" spans="1:4" x14ac:dyDescent="0.25">
      <c r="A72" s="18"/>
      <c r="B72" s="32" t="s">
        <v>54</v>
      </c>
      <c r="C72" s="42">
        <v>200000</v>
      </c>
      <c r="D72" s="39" t="s">
        <v>141</v>
      </c>
    </row>
    <row r="73" spans="1:4" x14ac:dyDescent="0.25">
      <c r="A73" s="18"/>
      <c r="B73" s="43" t="s">
        <v>96</v>
      </c>
      <c r="C73" s="44">
        <f>C71-C72</f>
        <v>840000</v>
      </c>
      <c r="D73" s="39"/>
    </row>
    <row r="74" spans="1:4" x14ac:dyDescent="0.25">
      <c r="A74" s="18"/>
      <c r="B74" s="45"/>
      <c r="C74" s="45"/>
      <c r="D74" s="39"/>
    </row>
    <row r="75" spans="1:4" x14ac:dyDescent="0.25">
      <c r="A75" s="18"/>
      <c r="B75" s="45"/>
      <c r="C75" s="45"/>
      <c r="D75" s="39"/>
    </row>
    <row r="76" spans="1:4" x14ac:dyDescent="0.25">
      <c r="A76" s="18"/>
      <c r="B76" s="46" t="s">
        <v>35</v>
      </c>
      <c r="C76" s="40" t="s">
        <v>38</v>
      </c>
      <c r="D76" s="39"/>
    </row>
    <row r="77" spans="1:4" x14ac:dyDescent="0.25">
      <c r="A77" s="18"/>
      <c r="B77" s="37" t="s">
        <v>41</v>
      </c>
      <c r="C77" s="38">
        <v>42957</v>
      </c>
      <c r="D77" s="39"/>
    </row>
    <row r="78" spans="1:4" x14ac:dyDescent="0.25">
      <c r="A78" s="18"/>
      <c r="B78" s="37" t="s">
        <v>42</v>
      </c>
      <c r="C78" s="40">
        <v>500000</v>
      </c>
      <c r="D78" s="39"/>
    </row>
    <row r="79" spans="1:4" ht="30" x14ac:dyDescent="0.25">
      <c r="A79" s="18"/>
      <c r="B79" s="37" t="s">
        <v>47</v>
      </c>
      <c r="C79" s="28">
        <v>4</v>
      </c>
      <c r="D79" s="73" t="s">
        <v>142</v>
      </c>
    </row>
    <row r="80" spans="1:4" x14ac:dyDescent="0.25">
      <c r="A80" s="18"/>
      <c r="B80" s="37" t="s">
        <v>48</v>
      </c>
      <c r="C80" s="28">
        <f>(C78*C79)/100</f>
        <v>20000</v>
      </c>
      <c r="D80" s="73"/>
    </row>
    <row r="81" spans="1:4" x14ac:dyDescent="0.25">
      <c r="A81" s="18"/>
      <c r="B81" s="37" t="s">
        <v>49</v>
      </c>
      <c r="C81" s="38">
        <v>43687</v>
      </c>
      <c r="D81" s="39"/>
    </row>
    <row r="82" spans="1:4" x14ac:dyDescent="0.25">
      <c r="A82" s="18"/>
      <c r="B82" s="37" t="s">
        <v>51</v>
      </c>
      <c r="C82" s="41">
        <v>24</v>
      </c>
      <c r="D82" s="39"/>
    </row>
    <row r="83" spans="1:4" x14ac:dyDescent="0.25">
      <c r="A83" s="18"/>
      <c r="B83" s="37" t="s">
        <v>52</v>
      </c>
      <c r="C83" s="28">
        <f>C78+(C82*C80)</f>
        <v>980000</v>
      </c>
      <c r="D83" s="39"/>
    </row>
    <row r="84" spans="1:4" ht="15.75" thickBot="1" x14ac:dyDescent="0.3">
      <c r="A84" s="19"/>
      <c r="B84" s="32" t="s">
        <v>54</v>
      </c>
      <c r="C84" s="42">
        <v>100000</v>
      </c>
      <c r="D84" s="39"/>
    </row>
    <row r="85" spans="1:4" x14ac:dyDescent="0.25">
      <c r="B85" s="43" t="s">
        <v>96</v>
      </c>
      <c r="C85" s="44">
        <f>C83-C84</f>
        <v>880000</v>
      </c>
      <c r="D85" s="39"/>
    </row>
    <row r="86" spans="1:4" x14ac:dyDescent="0.25">
      <c r="B86" s="45"/>
      <c r="C86" s="45"/>
      <c r="D86" s="39"/>
    </row>
    <row r="87" spans="1:4" x14ac:dyDescent="0.25">
      <c r="B87" s="45"/>
      <c r="C87" s="45"/>
      <c r="D87" s="39"/>
    </row>
    <row r="88" spans="1:4" x14ac:dyDescent="0.25">
      <c r="B88" s="46" t="s">
        <v>35</v>
      </c>
      <c r="C88" s="40" t="s">
        <v>38</v>
      </c>
      <c r="D88" s="39"/>
    </row>
    <row r="89" spans="1:4" x14ac:dyDescent="0.25">
      <c r="B89" s="37" t="s">
        <v>41</v>
      </c>
      <c r="C89" s="38">
        <v>43687</v>
      </c>
      <c r="D89" s="39"/>
    </row>
    <row r="90" spans="1:4" x14ac:dyDescent="0.25">
      <c r="B90" s="37" t="s">
        <v>42</v>
      </c>
      <c r="C90" s="40">
        <v>880000</v>
      </c>
      <c r="D90" s="74" t="s">
        <v>143</v>
      </c>
    </row>
    <row r="91" spans="1:4" x14ac:dyDescent="0.25">
      <c r="B91" s="37" t="s">
        <v>47</v>
      </c>
      <c r="C91" s="28">
        <v>6</v>
      </c>
      <c r="D91" s="74"/>
    </row>
    <row r="92" spans="1:4" x14ac:dyDescent="0.25">
      <c r="B92" s="37" t="s">
        <v>48</v>
      </c>
      <c r="C92" s="28">
        <f>(C90*C91)/100</f>
        <v>52800</v>
      </c>
      <c r="D92" s="39"/>
    </row>
    <row r="93" spans="1:4" x14ac:dyDescent="0.25">
      <c r="B93" s="37" t="s">
        <v>49</v>
      </c>
      <c r="C93" s="38">
        <v>43900</v>
      </c>
      <c r="D93" s="39"/>
    </row>
    <row r="94" spans="1:4" x14ac:dyDescent="0.25">
      <c r="B94" s="37" t="s">
        <v>51</v>
      </c>
      <c r="C94" s="41">
        <v>7</v>
      </c>
      <c r="D94" s="39"/>
    </row>
    <row r="95" spans="1:4" ht="15.75" thickBot="1" x14ac:dyDescent="0.3">
      <c r="B95" s="37" t="s">
        <v>52</v>
      </c>
      <c r="C95" s="28">
        <f>C90+(C94*C92)</f>
        <v>1249600</v>
      </c>
      <c r="D95" s="49"/>
    </row>
    <row r="96" spans="1:4" ht="15.75" thickBot="1" x14ac:dyDescent="0.3">
      <c r="B96" s="47" t="s">
        <v>96</v>
      </c>
      <c r="C96" s="48">
        <f>C95</f>
        <v>1249600</v>
      </c>
    </row>
    <row r="101" spans="2:6" x14ac:dyDescent="0.25">
      <c r="B101" s="10" t="s">
        <v>35</v>
      </c>
      <c r="C101" s="9" t="s">
        <v>36</v>
      </c>
    </row>
    <row r="102" spans="2:6" x14ac:dyDescent="0.25">
      <c r="B102" s="6" t="s">
        <v>39</v>
      </c>
      <c r="C102" s="7">
        <v>43275</v>
      </c>
      <c r="D102" t="s">
        <v>43</v>
      </c>
    </row>
    <row r="103" spans="2:6" x14ac:dyDescent="0.25">
      <c r="B103" s="6" t="s">
        <v>42</v>
      </c>
      <c r="C103" s="9">
        <v>600000</v>
      </c>
    </row>
    <row r="104" spans="2:6" x14ac:dyDescent="0.25">
      <c r="B104" s="6" t="s">
        <v>47</v>
      </c>
      <c r="C104" s="4">
        <v>2</v>
      </c>
    </row>
    <row r="105" spans="2:6" x14ac:dyDescent="0.25">
      <c r="B105" s="6" t="s">
        <v>48</v>
      </c>
      <c r="C105" s="4">
        <f>(C103*C104)/100</f>
        <v>12000</v>
      </c>
    </row>
    <row r="106" spans="2:6" x14ac:dyDescent="0.25">
      <c r="B106" s="6" t="s">
        <v>49</v>
      </c>
      <c r="C106" s="7">
        <v>45771</v>
      </c>
    </row>
    <row r="107" spans="2:6" x14ac:dyDescent="0.25">
      <c r="B107" s="6" t="s">
        <v>50</v>
      </c>
      <c r="C107" s="8">
        <v>82</v>
      </c>
      <c r="D107">
        <f>C108-C103</f>
        <v>984000</v>
      </c>
    </row>
    <row r="108" spans="2:6" x14ac:dyDescent="0.25">
      <c r="B108" s="6" t="s">
        <v>52</v>
      </c>
      <c r="C108" s="4">
        <f>C103+(C107*C105)</f>
        <v>1584000</v>
      </c>
      <c r="D108" s="2" t="s">
        <v>55</v>
      </c>
      <c r="F108" t="s">
        <v>402</v>
      </c>
    </row>
    <row r="109" spans="2:6" x14ac:dyDescent="0.25">
      <c r="B109" s="14" t="s">
        <v>54</v>
      </c>
      <c r="C109" s="14">
        <v>98000</v>
      </c>
      <c r="D109" s="2" t="s">
        <v>59</v>
      </c>
      <c r="F109">
        <f>C109+C110+C112</f>
        <v>523000</v>
      </c>
    </row>
    <row r="110" spans="2:6" x14ac:dyDescent="0.25">
      <c r="B110" s="14" t="s">
        <v>58</v>
      </c>
      <c r="C110" s="14">
        <v>75000</v>
      </c>
      <c r="F110">
        <v>200000</v>
      </c>
    </row>
    <row r="111" spans="2:6" x14ac:dyDescent="0.25">
      <c r="B111" s="43" t="s">
        <v>60</v>
      </c>
      <c r="C111" s="44">
        <f>C108-C109-C110</f>
        <v>1411000</v>
      </c>
    </row>
    <row r="112" spans="2:6" x14ac:dyDescent="0.25">
      <c r="B112" s="13" t="s">
        <v>63</v>
      </c>
      <c r="C112" s="13">
        <v>350000</v>
      </c>
    </row>
    <row r="113" spans="2:7" x14ac:dyDescent="0.25">
      <c r="B113" s="15" t="s">
        <v>60</v>
      </c>
      <c r="C113" s="16">
        <f>C108-C109-C110-C112</f>
        <v>1061000</v>
      </c>
    </row>
    <row r="116" spans="2:7" x14ac:dyDescent="0.25">
      <c r="B116" s="10" t="s">
        <v>35</v>
      </c>
      <c r="C116" s="9" t="s">
        <v>36</v>
      </c>
    </row>
    <row r="117" spans="2:7" x14ac:dyDescent="0.25">
      <c r="B117" s="6" t="s">
        <v>39</v>
      </c>
      <c r="C117" s="7">
        <v>43275</v>
      </c>
    </row>
    <row r="118" spans="2:7" x14ac:dyDescent="0.25">
      <c r="B118" s="6" t="s">
        <v>42</v>
      </c>
      <c r="C118" s="9">
        <v>100000</v>
      </c>
    </row>
    <row r="119" spans="2:7" x14ac:dyDescent="0.25">
      <c r="B119" s="6" t="s">
        <v>47</v>
      </c>
      <c r="C119" s="4">
        <v>1.5</v>
      </c>
    </row>
    <row r="120" spans="2:7" x14ac:dyDescent="0.25">
      <c r="B120" s="6" t="s">
        <v>48</v>
      </c>
      <c r="C120" s="4">
        <f>(C118*C119)/100</f>
        <v>1500</v>
      </c>
    </row>
    <row r="121" spans="2:7" x14ac:dyDescent="0.25">
      <c r="B121" s="6" t="s">
        <v>49</v>
      </c>
      <c r="C121" s="7">
        <v>45771</v>
      </c>
      <c r="F121" t="s">
        <v>403</v>
      </c>
      <c r="G121" t="s">
        <v>401</v>
      </c>
    </row>
    <row r="122" spans="2:7" x14ac:dyDescent="0.25">
      <c r="B122" s="6" t="s">
        <v>50</v>
      </c>
      <c r="C122" s="8">
        <v>82</v>
      </c>
      <c r="D122">
        <f>C123-C118</f>
        <v>123000</v>
      </c>
      <c r="F122">
        <f>C108+C123-C103-C118</f>
        <v>1107000</v>
      </c>
      <c r="G122">
        <f>F122-F109-F110</f>
        <v>384000</v>
      </c>
    </row>
    <row r="123" spans="2:7" x14ac:dyDescent="0.25">
      <c r="B123" s="6" t="s">
        <v>52</v>
      </c>
      <c r="C123" s="4">
        <f>C118+(C122*C120)</f>
        <v>223000</v>
      </c>
    </row>
    <row r="124" spans="2:7" x14ac:dyDescent="0.25">
      <c r="B124" s="14"/>
      <c r="C124" s="14"/>
    </row>
    <row r="125" spans="2:7" x14ac:dyDescent="0.25">
      <c r="B125" s="14"/>
      <c r="C125" s="14"/>
    </row>
    <row r="126" spans="2:7" x14ac:dyDescent="0.25">
      <c r="B126" s="43"/>
      <c r="C126" s="44"/>
    </row>
    <row r="127" spans="2:7" x14ac:dyDescent="0.25">
      <c r="B127" s="13"/>
      <c r="C127" s="13"/>
    </row>
    <row r="128" spans="2:7" x14ac:dyDescent="0.25">
      <c r="B128" s="15"/>
      <c r="C128" s="16"/>
    </row>
    <row r="133" spans="2:4" x14ac:dyDescent="0.25">
      <c r="B133" s="10" t="s">
        <v>35</v>
      </c>
      <c r="C133" s="9" t="s">
        <v>36</v>
      </c>
    </row>
    <row r="134" spans="2:4" x14ac:dyDescent="0.25">
      <c r="B134" s="6" t="s">
        <v>39</v>
      </c>
      <c r="C134" s="7">
        <v>43275</v>
      </c>
    </row>
    <row r="135" spans="2:4" x14ac:dyDescent="0.25">
      <c r="B135" s="6" t="s">
        <v>42</v>
      </c>
      <c r="C135" s="9">
        <v>600000</v>
      </c>
    </row>
    <row r="136" spans="2:4" x14ac:dyDescent="0.25">
      <c r="B136" s="6" t="s">
        <v>47</v>
      </c>
      <c r="C136" s="4">
        <v>2</v>
      </c>
    </row>
    <row r="137" spans="2:4" x14ac:dyDescent="0.25">
      <c r="B137" s="6" t="s">
        <v>48</v>
      </c>
      <c r="C137" s="4">
        <f>(C135*C136)/100</f>
        <v>12000</v>
      </c>
    </row>
    <row r="138" spans="2:4" x14ac:dyDescent="0.25">
      <c r="B138" s="6" t="s">
        <v>49</v>
      </c>
      <c r="C138" s="7">
        <v>45771</v>
      </c>
    </row>
    <row r="139" spans="2:4" x14ac:dyDescent="0.25">
      <c r="B139" s="6" t="s">
        <v>50</v>
      </c>
      <c r="C139" s="8">
        <v>57</v>
      </c>
    </row>
    <row r="140" spans="2:4" x14ac:dyDescent="0.25">
      <c r="B140" s="6" t="s">
        <v>52</v>
      </c>
      <c r="C140" s="4">
        <f>C135+(C139*C137)</f>
        <v>1284000</v>
      </c>
      <c r="D140">
        <f>C140-C135</f>
        <v>684000</v>
      </c>
    </row>
    <row r="141" spans="2:4" x14ac:dyDescent="0.25">
      <c r="B141" s="14" t="s">
        <v>54</v>
      </c>
      <c r="C141" s="14">
        <v>98000</v>
      </c>
    </row>
    <row r="142" spans="2:4" x14ac:dyDescent="0.25">
      <c r="B142" s="14" t="s">
        <v>58</v>
      </c>
      <c r="C142" s="14">
        <v>75000</v>
      </c>
    </row>
    <row r="143" spans="2:4" x14ac:dyDescent="0.25">
      <c r="B143" s="43"/>
      <c r="C143" s="44"/>
    </row>
    <row r="144" spans="2:4" x14ac:dyDescent="0.25">
      <c r="B144" s="13" t="s">
        <v>63</v>
      </c>
      <c r="C144" s="13">
        <v>350000</v>
      </c>
    </row>
    <row r="145" spans="2:6" x14ac:dyDescent="0.25">
      <c r="B145" s="15" t="s">
        <v>60</v>
      </c>
      <c r="C145" s="16">
        <f>C140-C141-C142-C144</f>
        <v>761000</v>
      </c>
    </row>
    <row r="148" spans="2:6" x14ac:dyDescent="0.25">
      <c r="B148" s="10" t="s">
        <v>35</v>
      </c>
      <c r="C148" s="9" t="s">
        <v>36</v>
      </c>
    </row>
    <row r="149" spans="2:6" x14ac:dyDescent="0.25">
      <c r="B149" s="6" t="s">
        <v>39</v>
      </c>
      <c r="C149" s="7">
        <v>43275</v>
      </c>
    </row>
    <row r="150" spans="2:6" x14ac:dyDescent="0.25">
      <c r="B150" s="6" t="s">
        <v>42</v>
      </c>
      <c r="C150" s="9">
        <v>100000</v>
      </c>
    </row>
    <row r="151" spans="2:6" x14ac:dyDescent="0.25">
      <c r="B151" s="6" t="s">
        <v>47</v>
      </c>
      <c r="C151" s="4">
        <v>1.5</v>
      </c>
    </row>
    <row r="152" spans="2:6" x14ac:dyDescent="0.25">
      <c r="B152" s="6" t="s">
        <v>48</v>
      </c>
      <c r="C152" s="4">
        <f>(C150*C151)/100</f>
        <v>1500</v>
      </c>
    </row>
    <row r="153" spans="2:6" x14ac:dyDescent="0.25">
      <c r="B153" s="6" t="s">
        <v>49</v>
      </c>
      <c r="C153" s="7">
        <v>45771</v>
      </c>
    </row>
    <row r="154" spans="2:6" x14ac:dyDescent="0.25">
      <c r="B154" s="6" t="s">
        <v>50</v>
      </c>
      <c r="C154" s="8">
        <v>57</v>
      </c>
    </row>
    <row r="155" spans="2:6" x14ac:dyDescent="0.25">
      <c r="B155" s="6" t="s">
        <v>52</v>
      </c>
      <c r="C155" s="4">
        <f>C150+(C154*C152)</f>
        <v>185500</v>
      </c>
      <c r="D155">
        <f>C155-C150</f>
        <v>85500</v>
      </c>
      <c r="F155">
        <f>D140+D155-(C141+C142+C144)</f>
        <v>246500</v>
      </c>
    </row>
    <row r="156" spans="2:6" x14ac:dyDescent="0.25">
      <c r="B156" s="14"/>
      <c r="C156" s="14"/>
      <c r="E156" t="s">
        <v>405</v>
      </c>
      <c r="F156">
        <f>0.02*F155</f>
        <v>4930</v>
      </c>
    </row>
    <row r="157" spans="2:6" x14ac:dyDescent="0.25">
      <c r="B157" s="14"/>
      <c r="C157" s="14"/>
      <c r="E157" t="s">
        <v>406</v>
      </c>
      <c r="F157">
        <v>25</v>
      </c>
    </row>
    <row r="158" spans="2:6" x14ac:dyDescent="0.25">
      <c r="B158" s="43"/>
      <c r="C158" s="44"/>
      <c r="F158">
        <f>F157*F156</f>
        <v>123250</v>
      </c>
    </row>
    <row r="159" spans="2:6" x14ac:dyDescent="0.25">
      <c r="B159" s="13"/>
      <c r="C159" s="13"/>
    </row>
    <row r="160" spans="2:6" x14ac:dyDescent="0.25">
      <c r="B160" s="15"/>
      <c r="C160" s="16"/>
    </row>
  </sheetData>
  <mergeCells count="8">
    <mergeCell ref="F3:H3"/>
    <mergeCell ref="F4:H4"/>
    <mergeCell ref="P25:R25"/>
    <mergeCell ref="P57:Q57"/>
    <mergeCell ref="P27:P29"/>
    <mergeCell ref="F33:H33"/>
    <mergeCell ref="F5:G5"/>
    <mergeCell ref="F34:G3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ECE9-BCFF-4D92-BBE3-FD929490E2E8}">
  <dimension ref="A2:O56"/>
  <sheetViews>
    <sheetView topLeftCell="A27" workbookViewId="0">
      <selection activeCell="K57" sqref="K57"/>
    </sheetView>
  </sheetViews>
  <sheetFormatPr defaultRowHeight="15" x14ac:dyDescent="0.25"/>
  <cols>
    <col min="1" max="1" width="18.5703125" bestFit="1" customWidth="1"/>
    <col min="2" max="2" width="14.85546875" customWidth="1"/>
    <col min="3" max="3" width="9.5703125" customWidth="1"/>
    <col min="4" max="4" width="11.42578125" customWidth="1"/>
    <col min="5" max="5" width="11" customWidth="1"/>
    <col min="6" max="6" width="23.42578125" customWidth="1"/>
    <col min="7" max="7" width="18.5703125" bestFit="1" customWidth="1"/>
    <col min="8" max="8" width="13.85546875" customWidth="1"/>
    <col min="12" max="12" width="18.5703125" bestFit="1" customWidth="1"/>
    <col min="13" max="13" width="22.28515625" bestFit="1" customWidth="1"/>
    <col min="14" max="14" width="10.42578125" bestFit="1" customWidth="1"/>
  </cols>
  <sheetData>
    <row r="2" spans="1:14" x14ac:dyDescent="0.25">
      <c r="A2" s="119" t="s">
        <v>144</v>
      </c>
      <c r="B2" s="119"/>
      <c r="C2" s="119"/>
      <c r="G2" s="119" t="s">
        <v>145</v>
      </c>
      <c r="H2" s="119"/>
      <c r="I2" s="119"/>
      <c r="M2" s="122" t="s">
        <v>146</v>
      </c>
      <c r="N2" s="122"/>
    </row>
    <row r="3" spans="1:14" x14ac:dyDescent="0.25">
      <c r="A3" s="120" t="s">
        <v>40</v>
      </c>
      <c r="B3" s="121"/>
      <c r="C3" s="12">
        <v>80000</v>
      </c>
      <c r="G3" s="120" t="s">
        <v>40</v>
      </c>
      <c r="H3" s="121"/>
      <c r="I3" s="12">
        <v>80000</v>
      </c>
      <c r="J3" t="s">
        <v>147</v>
      </c>
      <c r="M3" s="11" t="s">
        <v>148</v>
      </c>
      <c r="N3" s="11">
        <v>1000000</v>
      </c>
    </row>
    <row r="4" spans="1:14" x14ac:dyDescent="0.25">
      <c r="A4" s="4" t="s">
        <v>44</v>
      </c>
      <c r="B4" s="4" t="s">
        <v>45</v>
      </c>
      <c r="C4" s="4" t="s">
        <v>46</v>
      </c>
      <c r="G4" s="4" t="s">
        <v>44</v>
      </c>
      <c r="H4" s="4" t="s">
        <v>45</v>
      </c>
      <c r="I4" s="4" t="s">
        <v>46</v>
      </c>
      <c r="M4" s="11" t="s">
        <v>149</v>
      </c>
      <c r="N4" s="11">
        <v>400000</v>
      </c>
    </row>
    <row r="5" spans="1:14" x14ac:dyDescent="0.25">
      <c r="A5" s="5">
        <v>44018</v>
      </c>
      <c r="B5" s="67">
        <v>80000</v>
      </c>
      <c r="C5" s="4">
        <v>1</v>
      </c>
      <c r="D5" s="112" t="s">
        <v>150</v>
      </c>
      <c r="E5" s="113"/>
      <c r="F5" s="114"/>
      <c r="G5" s="5">
        <v>44018</v>
      </c>
      <c r="H5" s="67">
        <v>80000</v>
      </c>
      <c r="I5" s="4">
        <v>1</v>
      </c>
      <c r="M5" s="11" t="s">
        <v>151</v>
      </c>
      <c r="N5" s="11">
        <f>N3-N4</f>
        <v>600000</v>
      </c>
    </row>
    <row r="6" spans="1:14" x14ac:dyDescent="0.25">
      <c r="A6" s="21">
        <v>44044</v>
      </c>
      <c r="B6" s="67">
        <v>80000</v>
      </c>
      <c r="C6" s="4">
        <v>2</v>
      </c>
      <c r="D6" s="112" t="s">
        <v>150</v>
      </c>
      <c r="E6" s="113"/>
      <c r="F6" s="114"/>
      <c r="G6" s="21">
        <v>44044</v>
      </c>
      <c r="H6" s="67">
        <v>80000</v>
      </c>
      <c r="I6" s="4">
        <v>2</v>
      </c>
      <c r="M6" s="11" t="s">
        <v>152</v>
      </c>
      <c r="N6" s="11">
        <v>2</v>
      </c>
    </row>
    <row r="7" spans="1:14" x14ac:dyDescent="0.25">
      <c r="A7" s="21">
        <v>44081</v>
      </c>
      <c r="B7" s="67">
        <v>80000</v>
      </c>
      <c r="C7" s="4">
        <v>3</v>
      </c>
      <c r="D7" s="112" t="s">
        <v>150</v>
      </c>
      <c r="E7" s="113"/>
      <c r="F7" s="114"/>
      <c r="G7" s="21">
        <v>44081</v>
      </c>
      <c r="H7" s="67">
        <v>80000</v>
      </c>
      <c r="I7" s="4">
        <v>3</v>
      </c>
      <c r="M7" s="11" t="s">
        <v>153</v>
      </c>
      <c r="N7" s="21">
        <v>44188</v>
      </c>
    </row>
    <row r="8" spans="1:14" x14ac:dyDescent="0.25">
      <c r="A8" s="21">
        <v>44111</v>
      </c>
      <c r="B8" s="67">
        <v>80000</v>
      </c>
      <c r="C8" s="4">
        <v>4</v>
      </c>
      <c r="D8" s="112" t="s">
        <v>154</v>
      </c>
      <c r="E8" s="113"/>
      <c r="F8" s="114"/>
      <c r="G8" s="21">
        <v>44111</v>
      </c>
      <c r="H8" s="67">
        <v>80000</v>
      </c>
      <c r="I8" s="4">
        <v>4</v>
      </c>
      <c r="M8" s="11" t="s">
        <v>155</v>
      </c>
      <c r="N8" s="11">
        <v>19</v>
      </c>
    </row>
    <row r="9" spans="1:14" x14ac:dyDescent="0.25">
      <c r="A9" s="21">
        <v>44142</v>
      </c>
      <c r="B9" s="67">
        <v>80000</v>
      </c>
      <c r="C9" s="4">
        <v>5</v>
      </c>
      <c r="D9" s="112" t="s">
        <v>150</v>
      </c>
      <c r="E9" s="113"/>
      <c r="F9" s="114"/>
      <c r="G9" s="21">
        <v>44142</v>
      </c>
      <c r="H9" s="67">
        <v>80000</v>
      </c>
      <c r="I9" s="4">
        <v>5</v>
      </c>
      <c r="M9" s="13" t="s">
        <v>156</v>
      </c>
      <c r="N9" s="50">
        <f>N5*N6/100*N8</f>
        <v>228000</v>
      </c>
    </row>
    <row r="10" spans="1:14" x14ac:dyDescent="0.25">
      <c r="A10" s="21">
        <v>44182</v>
      </c>
      <c r="B10" s="67">
        <v>80000</v>
      </c>
      <c r="C10" s="4">
        <v>6</v>
      </c>
      <c r="D10" s="112" t="s">
        <v>150</v>
      </c>
      <c r="E10" s="113"/>
      <c r="F10" s="114"/>
      <c r="G10" s="21">
        <v>44182</v>
      </c>
      <c r="H10" s="67">
        <v>80000</v>
      </c>
      <c r="I10" s="4">
        <v>6</v>
      </c>
      <c r="M10" s="13" t="s">
        <v>157</v>
      </c>
      <c r="N10" s="13">
        <f>N3*0.65/100*N8</f>
        <v>123500</v>
      </c>
    </row>
    <row r="11" spans="1:14" x14ac:dyDescent="0.25">
      <c r="A11" s="21">
        <v>44209</v>
      </c>
      <c r="B11" s="67">
        <v>80000</v>
      </c>
      <c r="C11" s="4">
        <v>7</v>
      </c>
      <c r="D11" s="112" t="s">
        <v>150</v>
      </c>
      <c r="E11" s="113"/>
      <c r="F11" s="114"/>
      <c r="G11" s="21">
        <v>44209</v>
      </c>
      <c r="H11" s="67">
        <v>80000</v>
      </c>
      <c r="I11" s="4">
        <v>7</v>
      </c>
      <c r="M11" s="11"/>
      <c r="N11" s="11"/>
    </row>
    <row r="12" spans="1:14" x14ac:dyDescent="0.25">
      <c r="A12" s="21">
        <v>44242</v>
      </c>
      <c r="B12" s="67">
        <v>80000</v>
      </c>
      <c r="C12" s="4">
        <v>8</v>
      </c>
      <c r="D12" s="112" t="s">
        <v>158</v>
      </c>
      <c r="E12" s="113"/>
      <c r="F12" s="114"/>
      <c r="G12" s="21">
        <v>44242</v>
      </c>
      <c r="H12" s="67">
        <v>80000</v>
      </c>
      <c r="I12" s="4">
        <v>8</v>
      </c>
      <c r="M12" s="11"/>
      <c r="N12" s="11"/>
    </row>
    <row r="13" spans="1:14" ht="27" customHeight="1" x14ac:dyDescent="0.25">
      <c r="A13" s="21">
        <v>44248</v>
      </c>
      <c r="B13" s="67">
        <v>80000</v>
      </c>
      <c r="C13" s="4">
        <v>9</v>
      </c>
      <c r="D13" s="123" t="s">
        <v>159</v>
      </c>
      <c r="E13" s="115"/>
      <c r="F13" s="124"/>
      <c r="G13" s="21">
        <v>44248</v>
      </c>
      <c r="H13" s="67">
        <v>80000</v>
      </c>
      <c r="I13" s="4">
        <v>9</v>
      </c>
      <c r="M13" s="11"/>
      <c r="N13" s="11"/>
    </row>
    <row r="14" spans="1:14" x14ac:dyDescent="0.25">
      <c r="A14" s="21">
        <v>44291</v>
      </c>
      <c r="B14" s="67">
        <v>80000</v>
      </c>
      <c r="C14" s="4">
        <v>10</v>
      </c>
      <c r="D14" s="112" t="s">
        <v>160</v>
      </c>
      <c r="E14" s="113"/>
      <c r="F14" s="114"/>
      <c r="G14" s="21">
        <v>44291</v>
      </c>
      <c r="H14" s="67">
        <v>80000</v>
      </c>
      <c r="I14" s="4">
        <v>10</v>
      </c>
      <c r="M14" s="13" t="s">
        <v>161</v>
      </c>
      <c r="N14" s="16">
        <f>N9-N10</f>
        <v>104500</v>
      </c>
    </row>
    <row r="15" spans="1:14" x14ac:dyDescent="0.25">
      <c r="A15" s="21">
        <v>44323</v>
      </c>
      <c r="B15" s="67">
        <v>80000</v>
      </c>
      <c r="C15" s="4">
        <v>11</v>
      </c>
      <c r="D15" s="112" t="s">
        <v>160</v>
      </c>
      <c r="E15" s="113"/>
      <c r="F15" s="114"/>
      <c r="G15" s="21">
        <v>44323</v>
      </c>
      <c r="H15" s="67">
        <v>80000</v>
      </c>
      <c r="I15" s="4">
        <v>11</v>
      </c>
    </row>
    <row r="16" spans="1:14" x14ac:dyDescent="0.25">
      <c r="A16" s="21">
        <v>44355</v>
      </c>
      <c r="B16" s="67">
        <v>80000</v>
      </c>
      <c r="C16" s="4">
        <v>12</v>
      </c>
      <c r="D16" s="112" t="s">
        <v>160</v>
      </c>
      <c r="E16" s="113"/>
      <c r="F16" s="114"/>
      <c r="G16" s="21">
        <v>44355</v>
      </c>
      <c r="H16" s="67">
        <v>80000</v>
      </c>
      <c r="I16" s="4">
        <v>12</v>
      </c>
    </row>
    <row r="17" spans="1:13" x14ac:dyDescent="0.25">
      <c r="A17" s="21">
        <v>44384</v>
      </c>
      <c r="B17" s="67">
        <v>80000</v>
      </c>
      <c r="C17" s="4">
        <v>13</v>
      </c>
      <c r="D17" s="112" t="s">
        <v>160</v>
      </c>
      <c r="E17" s="113"/>
      <c r="F17" s="114"/>
      <c r="G17" s="21">
        <v>44384</v>
      </c>
      <c r="H17" s="67">
        <v>80000</v>
      </c>
      <c r="I17" s="4">
        <v>13</v>
      </c>
    </row>
    <row r="18" spans="1:13" x14ac:dyDescent="0.25">
      <c r="A18" s="21">
        <v>44414</v>
      </c>
      <c r="B18" s="67">
        <v>80000</v>
      </c>
      <c r="C18" s="4">
        <v>14</v>
      </c>
      <c r="D18" s="112" t="s">
        <v>150</v>
      </c>
      <c r="E18" s="113"/>
      <c r="F18" s="114"/>
      <c r="G18" s="21">
        <v>44414</v>
      </c>
      <c r="H18" s="67">
        <v>80000</v>
      </c>
      <c r="I18" s="4">
        <v>14</v>
      </c>
    </row>
    <row r="19" spans="1:13" x14ac:dyDescent="0.25">
      <c r="A19" s="21">
        <v>44449</v>
      </c>
      <c r="B19" s="67">
        <v>80000</v>
      </c>
      <c r="C19" s="4">
        <v>15</v>
      </c>
      <c r="D19" s="112" t="s">
        <v>150</v>
      </c>
      <c r="E19" s="113"/>
      <c r="F19" s="114"/>
      <c r="G19" s="21">
        <v>44449</v>
      </c>
      <c r="H19" s="67">
        <v>80000</v>
      </c>
      <c r="I19" s="4">
        <v>15</v>
      </c>
    </row>
    <row r="20" spans="1:13" x14ac:dyDescent="0.25">
      <c r="A20" s="4"/>
      <c r="B20" s="67">
        <f>251000/2</f>
        <v>125500</v>
      </c>
      <c r="C20" s="4">
        <v>16</v>
      </c>
      <c r="D20" s="112" t="s">
        <v>162</v>
      </c>
      <c r="E20" s="113"/>
      <c r="F20" s="114"/>
      <c r="G20" s="4"/>
      <c r="H20" s="67">
        <f>251000/2</f>
        <v>125500</v>
      </c>
      <c r="I20" s="4">
        <v>15</v>
      </c>
    </row>
    <row r="21" spans="1:13" x14ac:dyDescent="0.25">
      <c r="A21" s="7">
        <v>44513</v>
      </c>
      <c r="B21" s="67">
        <f>B20-80000-80000</f>
        <v>-34500</v>
      </c>
      <c r="C21" s="4">
        <v>16</v>
      </c>
      <c r="D21" s="112" t="s">
        <v>163</v>
      </c>
      <c r="E21" s="113"/>
      <c r="F21" s="114"/>
      <c r="G21" s="7">
        <v>44513</v>
      </c>
      <c r="H21" s="67">
        <f>H20-80000-80000</f>
        <v>-34500</v>
      </c>
      <c r="I21" s="4">
        <v>16</v>
      </c>
    </row>
    <row r="22" spans="1:13" x14ac:dyDescent="0.25">
      <c r="A22" s="7">
        <v>44540</v>
      </c>
      <c r="B22" s="67">
        <v>80000</v>
      </c>
      <c r="C22" s="4">
        <v>17</v>
      </c>
      <c r="D22" s="112" t="s">
        <v>150</v>
      </c>
      <c r="E22" s="113"/>
      <c r="F22" s="114"/>
      <c r="G22" s="7">
        <v>44540</v>
      </c>
      <c r="H22" s="67">
        <v>80000</v>
      </c>
      <c r="I22" s="4">
        <v>17</v>
      </c>
    </row>
    <row r="23" spans="1:13" x14ac:dyDescent="0.25">
      <c r="A23" s="7">
        <v>44574</v>
      </c>
      <c r="B23" s="67">
        <v>80000</v>
      </c>
      <c r="C23" s="4">
        <v>18</v>
      </c>
      <c r="D23" s="112" t="s">
        <v>150</v>
      </c>
      <c r="E23" s="113"/>
      <c r="F23" s="114"/>
      <c r="G23" s="7">
        <v>44574</v>
      </c>
      <c r="H23" s="67">
        <v>80000</v>
      </c>
      <c r="I23" s="4">
        <v>18</v>
      </c>
    </row>
    <row r="24" spans="1:13" x14ac:dyDescent="0.25">
      <c r="A24" s="7">
        <v>44606</v>
      </c>
      <c r="B24" s="67">
        <v>80000</v>
      </c>
      <c r="C24" s="4">
        <v>19</v>
      </c>
      <c r="D24" s="112" t="s">
        <v>150</v>
      </c>
      <c r="E24" s="113"/>
      <c r="F24" s="114"/>
      <c r="G24" s="7">
        <v>44606</v>
      </c>
      <c r="H24" s="67">
        <v>80000</v>
      </c>
      <c r="I24" s="4">
        <v>19</v>
      </c>
    </row>
    <row r="25" spans="1:13" x14ac:dyDescent="0.25">
      <c r="A25" s="7">
        <v>44634</v>
      </c>
      <c r="B25" s="67">
        <v>80000</v>
      </c>
      <c r="C25" s="4">
        <v>20</v>
      </c>
      <c r="D25" s="112" t="s">
        <v>150</v>
      </c>
      <c r="E25" s="113"/>
      <c r="F25" s="114"/>
      <c r="G25" s="7">
        <v>44634</v>
      </c>
      <c r="H25" s="67">
        <v>80000</v>
      </c>
      <c r="I25" s="4">
        <v>20</v>
      </c>
    </row>
    <row r="26" spans="1:13" x14ac:dyDescent="0.25">
      <c r="A26" s="7">
        <v>44665</v>
      </c>
      <c r="B26" s="67">
        <v>80000</v>
      </c>
      <c r="C26" s="4">
        <v>21</v>
      </c>
      <c r="D26" s="112" t="s">
        <v>150</v>
      </c>
      <c r="E26" s="113"/>
      <c r="F26" s="114"/>
      <c r="G26" s="7">
        <v>44665</v>
      </c>
      <c r="H26" s="67">
        <v>80000</v>
      </c>
      <c r="I26" s="4">
        <v>21</v>
      </c>
      <c r="M26" t="s">
        <v>164</v>
      </c>
    </row>
    <row r="27" spans="1:13" x14ac:dyDescent="0.25">
      <c r="A27" s="7">
        <v>44693</v>
      </c>
      <c r="B27" s="67">
        <v>80000</v>
      </c>
      <c r="C27" s="4">
        <v>22</v>
      </c>
      <c r="D27" s="112" t="s">
        <v>150</v>
      </c>
      <c r="E27" s="113"/>
      <c r="F27" s="114"/>
      <c r="G27" s="7">
        <v>44693</v>
      </c>
      <c r="H27" s="67">
        <v>80000</v>
      </c>
      <c r="I27" s="4">
        <v>22</v>
      </c>
    </row>
    <row r="28" spans="1:13" x14ac:dyDescent="0.25">
      <c r="A28" s="7">
        <v>44726</v>
      </c>
      <c r="B28" s="67">
        <v>80000</v>
      </c>
      <c r="C28" s="4">
        <v>23</v>
      </c>
      <c r="D28" s="112" t="s">
        <v>150</v>
      </c>
      <c r="E28" s="113"/>
      <c r="F28" s="114"/>
      <c r="G28" s="7">
        <v>44726</v>
      </c>
      <c r="H28" s="67">
        <v>80000</v>
      </c>
      <c r="I28" s="4">
        <v>23</v>
      </c>
    </row>
    <row r="29" spans="1:13" x14ac:dyDescent="0.25">
      <c r="A29" s="7">
        <v>44761</v>
      </c>
      <c r="B29" s="67">
        <v>80000</v>
      </c>
      <c r="C29" s="4">
        <v>24</v>
      </c>
      <c r="D29" s="112" t="s">
        <v>165</v>
      </c>
      <c r="E29" s="113"/>
      <c r="F29" s="114"/>
      <c r="G29" s="7">
        <v>44761</v>
      </c>
      <c r="H29" s="67">
        <v>80000</v>
      </c>
      <c r="I29" s="4">
        <v>24</v>
      </c>
    </row>
    <row r="30" spans="1:13" ht="15.75" thickBot="1" x14ac:dyDescent="0.3">
      <c r="A30" s="68">
        <v>44786</v>
      </c>
      <c r="B30" s="69">
        <v>80000</v>
      </c>
      <c r="C30" s="70">
        <v>25</v>
      </c>
      <c r="D30" s="112" t="s">
        <v>165</v>
      </c>
      <c r="E30" s="113"/>
      <c r="F30" s="114"/>
      <c r="G30" s="68">
        <v>44786</v>
      </c>
      <c r="H30" s="69">
        <v>80000</v>
      </c>
      <c r="I30" s="70">
        <v>25</v>
      </c>
    </row>
    <row r="31" spans="1:13" ht="15.75" thickBot="1" x14ac:dyDescent="0.3">
      <c r="A31" s="116"/>
      <c r="B31" s="117"/>
      <c r="C31" s="117"/>
      <c r="D31" s="117"/>
      <c r="E31" s="117"/>
      <c r="F31" s="117"/>
      <c r="G31" s="117"/>
      <c r="H31" s="117"/>
      <c r="I31" s="118"/>
    </row>
    <row r="32" spans="1:13" ht="30" customHeight="1" x14ac:dyDescent="0.25">
      <c r="A32" s="80">
        <v>44818</v>
      </c>
      <c r="B32" s="71">
        <v>100000</v>
      </c>
      <c r="C32" s="71">
        <v>1</v>
      </c>
      <c r="D32" s="115" t="s">
        <v>166</v>
      </c>
      <c r="E32" s="115"/>
      <c r="F32" s="115"/>
      <c r="G32" s="80">
        <v>44818</v>
      </c>
      <c r="H32" s="71">
        <v>100000</v>
      </c>
      <c r="I32" s="71">
        <v>1</v>
      </c>
    </row>
    <row r="33" spans="1:15" x14ac:dyDescent="0.25">
      <c r="A33" s="80">
        <v>44841</v>
      </c>
      <c r="B33" s="4">
        <v>100000</v>
      </c>
      <c r="C33" s="4">
        <v>2</v>
      </c>
      <c r="D33" s="115" t="s">
        <v>167</v>
      </c>
      <c r="E33" s="115"/>
      <c r="F33" s="115"/>
      <c r="G33" s="80">
        <v>44841</v>
      </c>
      <c r="H33" s="4">
        <v>100000</v>
      </c>
      <c r="I33" s="4">
        <v>2</v>
      </c>
      <c r="L33" s="126" t="s">
        <v>168</v>
      </c>
      <c r="M33" s="126"/>
      <c r="N33" s="126"/>
    </row>
    <row r="34" spans="1:15" x14ac:dyDescent="0.25">
      <c r="A34" s="80">
        <v>44861</v>
      </c>
      <c r="B34" s="4">
        <v>100000</v>
      </c>
      <c r="C34" s="4">
        <v>3</v>
      </c>
      <c r="D34" s="113" t="s">
        <v>150</v>
      </c>
      <c r="E34" s="113"/>
      <c r="F34" s="113"/>
      <c r="G34" s="80">
        <v>44861</v>
      </c>
      <c r="H34" s="4">
        <v>100000</v>
      </c>
      <c r="I34" s="4">
        <v>3</v>
      </c>
      <c r="L34" s="126" t="s">
        <v>169</v>
      </c>
      <c r="M34" s="126"/>
      <c r="N34" s="126"/>
    </row>
    <row r="35" spans="1:15" x14ac:dyDescent="0.25">
      <c r="A35" s="80">
        <v>44893</v>
      </c>
      <c r="B35" s="4">
        <v>100000</v>
      </c>
      <c r="C35" s="4">
        <v>4</v>
      </c>
      <c r="D35" s="113" t="s">
        <v>150</v>
      </c>
      <c r="E35" s="113"/>
      <c r="F35" s="113"/>
      <c r="G35" s="80">
        <v>44893</v>
      </c>
      <c r="H35" s="4">
        <v>100000</v>
      </c>
      <c r="I35" s="4">
        <v>4</v>
      </c>
      <c r="L35" s="126" t="s">
        <v>170</v>
      </c>
      <c r="M35" s="126"/>
      <c r="N35" s="126"/>
    </row>
    <row r="36" spans="1:15" x14ac:dyDescent="0.25">
      <c r="A36" s="80">
        <v>44929</v>
      </c>
      <c r="B36" s="4">
        <v>80000</v>
      </c>
      <c r="C36" s="4">
        <v>5</v>
      </c>
      <c r="D36" s="113" t="s">
        <v>150</v>
      </c>
      <c r="E36" s="113"/>
      <c r="F36" s="113"/>
      <c r="G36" s="80">
        <v>44929</v>
      </c>
      <c r="H36" s="4">
        <v>80000</v>
      </c>
      <c r="I36" s="4">
        <v>5</v>
      </c>
      <c r="L36" s="81">
        <v>44929</v>
      </c>
      <c r="M36" s="12">
        <v>10000</v>
      </c>
      <c r="N36" s="12">
        <v>1</v>
      </c>
      <c r="O36" s="125" t="s">
        <v>171</v>
      </c>
    </row>
    <row r="37" spans="1:15" x14ac:dyDescent="0.25">
      <c r="A37" s="80">
        <v>44967</v>
      </c>
      <c r="B37" s="4">
        <v>80000</v>
      </c>
      <c r="C37" s="4">
        <v>6</v>
      </c>
      <c r="D37" s="113" t="s">
        <v>172</v>
      </c>
      <c r="E37" s="113"/>
      <c r="F37" s="113"/>
      <c r="G37" s="80">
        <v>44967</v>
      </c>
      <c r="H37" s="4">
        <v>80000</v>
      </c>
      <c r="I37" s="4">
        <v>6</v>
      </c>
      <c r="L37" s="81">
        <v>44967</v>
      </c>
      <c r="M37" s="12">
        <v>10000</v>
      </c>
      <c r="N37" s="12">
        <v>2</v>
      </c>
      <c r="O37" s="125"/>
    </row>
    <row r="38" spans="1:15" x14ac:dyDescent="0.25">
      <c r="A38" s="80">
        <v>44995</v>
      </c>
      <c r="B38" s="4">
        <v>80000</v>
      </c>
      <c r="C38" s="4">
        <v>7</v>
      </c>
      <c r="D38" s="113" t="s">
        <v>173</v>
      </c>
      <c r="E38" s="113"/>
      <c r="F38" s="113"/>
      <c r="G38" s="80">
        <v>44995</v>
      </c>
      <c r="H38" s="4">
        <v>80000</v>
      </c>
      <c r="I38" s="4">
        <v>7</v>
      </c>
      <c r="L38" s="81">
        <v>44995</v>
      </c>
      <c r="M38" s="12">
        <v>10000</v>
      </c>
      <c r="N38" s="12">
        <v>3</v>
      </c>
      <c r="O38" s="125"/>
    </row>
    <row r="39" spans="1:15" x14ac:dyDescent="0.25">
      <c r="A39" s="80">
        <v>45021</v>
      </c>
      <c r="B39" s="4">
        <v>80000</v>
      </c>
      <c r="C39" s="4">
        <v>8</v>
      </c>
      <c r="D39" s="113" t="s">
        <v>150</v>
      </c>
      <c r="E39" s="113"/>
      <c r="F39" s="113"/>
      <c r="G39" s="80">
        <v>45021</v>
      </c>
      <c r="H39" s="4">
        <v>80000</v>
      </c>
      <c r="I39" s="4">
        <v>8</v>
      </c>
      <c r="L39" s="81">
        <v>45021</v>
      </c>
      <c r="M39" s="12">
        <v>10000</v>
      </c>
      <c r="N39" s="12">
        <v>4</v>
      </c>
      <c r="O39" s="125"/>
    </row>
    <row r="40" spans="1:15" x14ac:dyDescent="0.25">
      <c r="A40" s="80">
        <v>45048</v>
      </c>
      <c r="B40" s="4">
        <v>80000</v>
      </c>
      <c r="C40" s="4">
        <v>9</v>
      </c>
      <c r="D40" s="113" t="s">
        <v>150</v>
      </c>
      <c r="E40" s="113"/>
      <c r="F40" s="113"/>
      <c r="G40" s="80">
        <v>45048</v>
      </c>
      <c r="H40" s="4">
        <v>80000</v>
      </c>
      <c r="I40" s="4">
        <v>9</v>
      </c>
      <c r="L40" s="81">
        <v>45048</v>
      </c>
      <c r="M40" s="12">
        <v>10000</v>
      </c>
      <c r="N40" s="12">
        <v>5</v>
      </c>
      <c r="O40" s="125"/>
    </row>
    <row r="41" spans="1:15" x14ac:dyDescent="0.25">
      <c r="A41" s="80">
        <v>45078</v>
      </c>
      <c r="B41" s="4">
        <v>80000</v>
      </c>
      <c r="C41" s="4">
        <v>10</v>
      </c>
      <c r="D41" s="113" t="s">
        <v>150</v>
      </c>
      <c r="E41" s="113"/>
      <c r="F41" s="113"/>
      <c r="G41" s="80">
        <v>45078</v>
      </c>
      <c r="H41" s="4">
        <v>80000</v>
      </c>
      <c r="I41" s="4">
        <v>10</v>
      </c>
      <c r="L41" s="81">
        <v>45078</v>
      </c>
      <c r="M41" s="12">
        <v>10000</v>
      </c>
      <c r="N41" s="12">
        <v>6</v>
      </c>
      <c r="O41" s="125"/>
    </row>
    <row r="42" spans="1:15" x14ac:dyDescent="0.25">
      <c r="A42" s="80">
        <v>45113</v>
      </c>
      <c r="B42" s="4">
        <v>80000</v>
      </c>
      <c r="C42" s="4">
        <v>11</v>
      </c>
      <c r="D42" s="113" t="s">
        <v>150</v>
      </c>
      <c r="E42" s="113"/>
      <c r="F42" s="113"/>
      <c r="G42" s="80">
        <v>45113</v>
      </c>
      <c r="H42" s="4">
        <v>80000</v>
      </c>
      <c r="I42" s="4">
        <v>11</v>
      </c>
      <c r="L42" s="81">
        <v>45113</v>
      </c>
      <c r="M42" s="12">
        <v>10000</v>
      </c>
      <c r="N42" s="12">
        <v>7</v>
      </c>
      <c r="O42" s="125"/>
    </row>
    <row r="43" spans="1:15" x14ac:dyDescent="0.25">
      <c r="A43" s="80">
        <v>45143</v>
      </c>
      <c r="B43" s="4">
        <v>80000</v>
      </c>
      <c r="C43" s="4">
        <v>12</v>
      </c>
      <c r="D43" s="113" t="s">
        <v>150</v>
      </c>
      <c r="E43" s="113"/>
      <c r="F43" s="113"/>
      <c r="G43" s="80">
        <v>45143</v>
      </c>
      <c r="H43" s="4">
        <v>80000</v>
      </c>
      <c r="I43" s="4">
        <v>12</v>
      </c>
      <c r="L43" s="81">
        <v>45143</v>
      </c>
      <c r="M43" s="12">
        <v>10000</v>
      </c>
      <c r="N43" s="12">
        <v>8</v>
      </c>
      <c r="O43" s="125"/>
    </row>
    <row r="44" spans="1:15" x14ac:dyDescent="0.25">
      <c r="A44" s="80">
        <v>45181</v>
      </c>
      <c r="B44" s="4">
        <v>80000</v>
      </c>
      <c r="C44" s="4">
        <v>13</v>
      </c>
      <c r="D44" s="113" t="s">
        <v>150</v>
      </c>
      <c r="E44" s="113"/>
      <c r="F44" s="113"/>
      <c r="G44" s="80">
        <v>45181</v>
      </c>
      <c r="H44" s="4">
        <v>80000</v>
      </c>
      <c r="I44" s="4">
        <v>13</v>
      </c>
      <c r="L44" s="81">
        <v>45181</v>
      </c>
      <c r="M44" s="12">
        <v>10000</v>
      </c>
      <c r="N44" s="12">
        <v>9</v>
      </c>
      <c r="O44" s="125"/>
    </row>
    <row r="45" spans="1:15" x14ac:dyDescent="0.25">
      <c r="A45" s="80">
        <v>45204</v>
      </c>
      <c r="B45" s="4">
        <v>80000</v>
      </c>
      <c r="C45" s="4">
        <v>14</v>
      </c>
      <c r="D45" s="113" t="s">
        <v>150</v>
      </c>
      <c r="E45" s="113"/>
      <c r="F45" s="113"/>
      <c r="G45" s="80">
        <v>45204</v>
      </c>
      <c r="H45" s="4">
        <v>80000</v>
      </c>
      <c r="I45" s="4">
        <v>14</v>
      </c>
      <c r="L45" s="81">
        <v>45204</v>
      </c>
      <c r="M45" s="12">
        <v>10000</v>
      </c>
      <c r="N45" s="12">
        <v>10</v>
      </c>
      <c r="O45" s="125"/>
    </row>
    <row r="46" spans="1:15" x14ac:dyDescent="0.25">
      <c r="A46" s="80">
        <v>45239</v>
      </c>
      <c r="B46" s="4">
        <v>80000</v>
      </c>
      <c r="C46" s="4">
        <v>15</v>
      </c>
      <c r="D46" s="113" t="s">
        <v>150</v>
      </c>
      <c r="E46" s="113"/>
      <c r="F46" s="113"/>
      <c r="G46" s="80">
        <v>45239</v>
      </c>
      <c r="H46" s="4">
        <v>80000</v>
      </c>
      <c r="I46" s="4">
        <v>15</v>
      </c>
      <c r="L46" s="81">
        <v>45239</v>
      </c>
      <c r="M46" s="12">
        <v>10000</v>
      </c>
      <c r="N46" s="12">
        <v>11</v>
      </c>
      <c r="O46" s="125"/>
    </row>
    <row r="47" spans="1:15" x14ac:dyDescent="0.25">
      <c r="A47" s="80">
        <v>45259</v>
      </c>
      <c r="B47" s="4">
        <v>80000</v>
      </c>
      <c r="C47" s="4">
        <v>16</v>
      </c>
      <c r="D47" s="113" t="s">
        <v>150</v>
      </c>
      <c r="E47" s="113"/>
      <c r="F47" s="113"/>
      <c r="G47" s="80">
        <v>45259</v>
      </c>
      <c r="H47" s="4">
        <v>80000</v>
      </c>
      <c r="I47" s="4">
        <v>16</v>
      </c>
      <c r="L47" s="81">
        <v>45259</v>
      </c>
      <c r="M47" s="12">
        <v>10000</v>
      </c>
      <c r="N47" s="12">
        <v>12</v>
      </c>
      <c r="O47" s="125"/>
    </row>
    <row r="48" spans="1:15" x14ac:dyDescent="0.25">
      <c r="A48" s="80">
        <v>45287</v>
      </c>
      <c r="B48" s="4">
        <v>80000</v>
      </c>
      <c r="C48" s="4">
        <v>17</v>
      </c>
      <c r="D48" s="113" t="s">
        <v>150</v>
      </c>
      <c r="E48" s="113"/>
      <c r="F48" s="113"/>
      <c r="G48" s="80">
        <v>45287</v>
      </c>
      <c r="H48" s="4">
        <v>80000</v>
      </c>
      <c r="I48" s="4">
        <v>17</v>
      </c>
      <c r="L48" s="80">
        <v>45287</v>
      </c>
      <c r="M48" s="4">
        <v>10000</v>
      </c>
      <c r="N48" s="4">
        <v>13</v>
      </c>
      <c r="O48" s="11"/>
    </row>
    <row r="49" spans="1:15" x14ac:dyDescent="0.25">
      <c r="A49" s="11"/>
      <c r="B49" s="11"/>
      <c r="C49" s="4">
        <v>18</v>
      </c>
      <c r="D49" s="112" t="s">
        <v>174</v>
      </c>
      <c r="E49" s="113"/>
      <c r="F49" s="114"/>
      <c r="G49" s="11"/>
      <c r="H49" s="11"/>
      <c r="I49" s="4">
        <v>18</v>
      </c>
      <c r="L49" s="11"/>
      <c r="M49" s="11"/>
      <c r="N49" s="11"/>
      <c r="O49" s="11"/>
    </row>
    <row r="50" spans="1:15" x14ac:dyDescent="0.25">
      <c r="A50" s="11"/>
      <c r="B50" s="11"/>
      <c r="C50" s="4">
        <v>19</v>
      </c>
      <c r="D50" s="112" t="s">
        <v>174</v>
      </c>
      <c r="E50" s="113"/>
      <c r="F50" s="114"/>
      <c r="G50" s="11"/>
      <c r="H50" s="11"/>
      <c r="I50" s="4">
        <v>19</v>
      </c>
      <c r="L50" s="11"/>
      <c r="M50" s="11"/>
      <c r="N50" s="11"/>
      <c r="O50" s="11"/>
    </row>
    <row r="51" spans="1:15" x14ac:dyDescent="0.25">
      <c r="A51" s="4" t="s">
        <v>175</v>
      </c>
      <c r="B51" s="4"/>
      <c r="C51" s="4">
        <v>20</v>
      </c>
      <c r="D51" s="78"/>
      <c r="E51" s="78"/>
      <c r="F51" s="78"/>
      <c r="G51" s="4" t="s">
        <v>175</v>
      </c>
      <c r="H51" s="11"/>
      <c r="I51" s="4">
        <v>20</v>
      </c>
      <c r="L51" s="11"/>
      <c r="M51" s="11"/>
      <c r="N51" s="11"/>
      <c r="O51" s="11"/>
    </row>
    <row r="52" spans="1:15" x14ac:dyDescent="0.25">
      <c r="A52" s="11"/>
      <c r="B52" s="11"/>
      <c r="C52" s="4">
        <v>21</v>
      </c>
      <c r="G52" s="11"/>
      <c r="H52" s="11"/>
      <c r="I52" s="4">
        <v>21</v>
      </c>
      <c r="L52" s="11"/>
      <c r="M52" s="11"/>
      <c r="N52" s="11"/>
      <c r="O52" s="11"/>
    </row>
    <row r="53" spans="1:15" x14ac:dyDescent="0.25">
      <c r="A53" s="11"/>
      <c r="B53" s="11"/>
      <c r="C53" s="4">
        <v>22</v>
      </c>
      <c r="G53" s="11"/>
      <c r="H53" s="11"/>
      <c r="I53" s="4">
        <v>22</v>
      </c>
      <c r="L53" s="11"/>
      <c r="M53" s="11"/>
      <c r="N53" s="11"/>
      <c r="O53" s="11"/>
    </row>
    <row r="54" spans="1:15" x14ac:dyDescent="0.25">
      <c r="A54" s="11"/>
      <c r="B54" s="11"/>
      <c r="C54" s="4">
        <v>23</v>
      </c>
      <c r="G54" s="11"/>
      <c r="H54" s="11"/>
      <c r="I54" s="4">
        <v>23</v>
      </c>
      <c r="L54" s="11"/>
      <c r="M54" s="11"/>
      <c r="N54" s="11"/>
      <c r="O54" s="11"/>
    </row>
    <row r="55" spans="1:15" x14ac:dyDescent="0.25">
      <c r="A55" s="11"/>
      <c r="B55" s="11"/>
      <c r="C55" s="4">
        <v>24</v>
      </c>
      <c r="G55" s="11"/>
      <c r="H55" s="11"/>
      <c r="I55" s="4">
        <v>24</v>
      </c>
      <c r="L55" s="11"/>
      <c r="M55" s="11"/>
      <c r="N55" s="11"/>
      <c r="O55" s="11"/>
    </row>
    <row r="56" spans="1:15" x14ac:dyDescent="0.25">
      <c r="A56" s="80">
        <v>45550</v>
      </c>
      <c r="B56" s="11"/>
      <c r="C56" s="4">
        <v>25</v>
      </c>
      <c r="G56" s="80">
        <v>45550</v>
      </c>
      <c r="H56" s="11"/>
      <c r="I56" s="4">
        <v>25</v>
      </c>
      <c r="L56" s="11"/>
      <c r="M56" s="11"/>
      <c r="N56" s="11"/>
      <c r="O56" s="11"/>
    </row>
  </sheetData>
  <mergeCells count="55">
    <mergeCell ref="O36:O47"/>
    <mergeCell ref="D47:F47"/>
    <mergeCell ref="L35:N35"/>
    <mergeCell ref="L33:N33"/>
    <mergeCell ref="L34:N34"/>
    <mergeCell ref="D40:F40"/>
    <mergeCell ref="D44:F44"/>
    <mergeCell ref="D45:F45"/>
    <mergeCell ref="D46:F46"/>
    <mergeCell ref="D41:F41"/>
    <mergeCell ref="D42:F42"/>
    <mergeCell ref="D43:F43"/>
    <mergeCell ref="M2:N2"/>
    <mergeCell ref="D12:F12"/>
    <mergeCell ref="D13:F13"/>
    <mergeCell ref="D15:F15"/>
    <mergeCell ref="D14:F14"/>
    <mergeCell ref="G2:I2"/>
    <mergeCell ref="G3:H3"/>
    <mergeCell ref="D5:F5"/>
    <mergeCell ref="D10:F10"/>
    <mergeCell ref="D11:F11"/>
    <mergeCell ref="D8:F8"/>
    <mergeCell ref="D7:F7"/>
    <mergeCell ref="D6:F6"/>
    <mergeCell ref="D9:F9"/>
    <mergeCell ref="A2:C2"/>
    <mergeCell ref="A3:B3"/>
    <mergeCell ref="D17:F17"/>
    <mergeCell ref="D26:F26"/>
    <mergeCell ref="D20:F20"/>
    <mergeCell ref="D19:F19"/>
    <mergeCell ref="D16:F16"/>
    <mergeCell ref="D18:F18"/>
    <mergeCell ref="D22:F22"/>
    <mergeCell ref="D21:F21"/>
    <mergeCell ref="D23:F23"/>
    <mergeCell ref="D24:F24"/>
    <mergeCell ref="D25:F25"/>
    <mergeCell ref="D49:F49"/>
    <mergeCell ref="D50:F50"/>
    <mergeCell ref="D27:F27"/>
    <mergeCell ref="D28:F28"/>
    <mergeCell ref="D39:F39"/>
    <mergeCell ref="D32:F32"/>
    <mergeCell ref="D33:F33"/>
    <mergeCell ref="D34:F34"/>
    <mergeCell ref="D35:F35"/>
    <mergeCell ref="D37:F37"/>
    <mergeCell ref="D38:F38"/>
    <mergeCell ref="D36:F36"/>
    <mergeCell ref="A31:I31"/>
    <mergeCell ref="D30:F30"/>
    <mergeCell ref="D29:F29"/>
    <mergeCell ref="D48:F48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1DDB-E8B9-4109-898A-83BF62F16970}">
  <dimension ref="C1:J30"/>
  <sheetViews>
    <sheetView workbookViewId="0">
      <selection activeCell="Q17" sqref="Q17"/>
    </sheetView>
  </sheetViews>
  <sheetFormatPr defaultRowHeight="15" x14ac:dyDescent="0.25"/>
  <cols>
    <col min="7" max="7" width="10.7109375" bestFit="1" customWidth="1"/>
    <col min="8" max="8" width="16.7109375" customWidth="1"/>
  </cols>
  <sheetData>
    <row r="1" spans="3:10" ht="15.75" thickBot="1" x14ac:dyDescent="0.3">
      <c r="C1" s="98" t="s">
        <v>176</v>
      </c>
      <c r="D1" s="99"/>
      <c r="E1" s="99"/>
      <c r="F1" s="99"/>
      <c r="G1" s="99"/>
      <c r="H1" s="99"/>
      <c r="I1" s="100"/>
    </row>
    <row r="2" spans="3:10" x14ac:dyDescent="0.25">
      <c r="I2" t="s">
        <v>177</v>
      </c>
    </row>
    <row r="3" spans="3:10" x14ac:dyDescent="0.25">
      <c r="C3" t="s">
        <v>178</v>
      </c>
      <c r="F3">
        <v>3800000</v>
      </c>
    </row>
    <row r="4" spans="3:10" x14ac:dyDescent="0.25">
      <c r="C4" t="s">
        <v>179</v>
      </c>
      <c r="F4">
        <v>400000</v>
      </c>
      <c r="G4" s="1"/>
      <c r="I4">
        <f>2039+2086</f>
        <v>4125</v>
      </c>
    </row>
    <row r="5" spans="3:10" x14ac:dyDescent="0.25">
      <c r="C5" t="s">
        <v>180</v>
      </c>
      <c r="F5">
        <v>200000</v>
      </c>
      <c r="G5" s="1">
        <v>44897</v>
      </c>
      <c r="I5">
        <v>2024</v>
      </c>
    </row>
    <row r="6" spans="3:10" x14ac:dyDescent="0.25">
      <c r="C6" t="s">
        <v>180</v>
      </c>
      <c r="F6">
        <v>75000</v>
      </c>
      <c r="G6" s="1">
        <v>44567</v>
      </c>
      <c r="I6">
        <v>763</v>
      </c>
      <c r="J6" t="s">
        <v>181</v>
      </c>
    </row>
    <row r="7" spans="3:10" x14ac:dyDescent="0.25">
      <c r="C7" t="s">
        <v>182</v>
      </c>
      <c r="F7" s="72">
        <v>200000</v>
      </c>
      <c r="G7" s="1">
        <v>44900</v>
      </c>
      <c r="I7">
        <v>2017</v>
      </c>
    </row>
    <row r="8" spans="3:10" x14ac:dyDescent="0.25">
      <c r="C8" t="s">
        <v>183</v>
      </c>
      <c r="F8" s="72">
        <v>200000</v>
      </c>
      <c r="G8" s="1">
        <v>44903</v>
      </c>
      <c r="I8">
        <v>2014</v>
      </c>
    </row>
    <row r="9" spans="3:10" x14ac:dyDescent="0.25">
      <c r="C9" t="s">
        <v>182</v>
      </c>
      <c r="F9" s="72">
        <v>200000</v>
      </c>
      <c r="G9" s="1">
        <v>44907</v>
      </c>
      <c r="I9">
        <v>2000</v>
      </c>
    </row>
    <row r="10" spans="3:10" x14ac:dyDescent="0.25">
      <c r="C10" t="s">
        <v>183</v>
      </c>
      <c r="F10" s="72">
        <v>200000</v>
      </c>
      <c r="G10" s="1">
        <v>44908</v>
      </c>
      <c r="I10">
        <v>1973</v>
      </c>
    </row>
    <row r="11" spans="3:10" x14ac:dyDescent="0.25">
      <c r="C11" t="s">
        <v>184</v>
      </c>
      <c r="F11" s="72">
        <v>200000</v>
      </c>
      <c r="G11" s="1">
        <v>44909</v>
      </c>
      <c r="I11">
        <v>1976</v>
      </c>
    </row>
    <row r="12" spans="3:10" x14ac:dyDescent="0.25">
      <c r="C12" t="s">
        <v>185</v>
      </c>
      <c r="F12" s="72">
        <v>200000</v>
      </c>
      <c r="G12" s="1">
        <v>44911</v>
      </c>
      <c r="I12">
        <v>2004</v>
      </c>
    </row>
    <row r="13" spans="3:10" x14ac:dyDescent="0.25">
      <c r="C13" t="s">
        <v>186</v>
      </c>
      <c r="F13" s="72">
        <v>200000</v>
      </c>
      <c r="G13" s="1">
        <v>44914</v>
      </c>
      <c r="I13">
        <v>2004</v>
      </c>
    </row>
    <row r="14" spans="3:10" x14ac:dyDescent="0.25">
      <c r="C14" t="s">
        <v>187</v>
      </c>
      <c r="F14" s="72">
        <v>400000</v>
      </c>
      <c r="G14" s="1">
        <v>44915</v>
      </c>
      <c r="I14">
        <v>4021</v>
      </c>
    </row>
    <row r="15" spans="3:10" x14ac:dyDescent="0.25">
      <c r="C15" t="s">
        <v>186</v>
      </c>
      <c r="F15" s="72">
        <v>200000</v>
      </c>
      <c r="G15" s="1">
        <v>44916</v>
      </c>
      <c r="I15">
        <v>2010</v>
      </c>
    </row>
    <row r="16" spans="3:10" x14ac:dyDescent="0.25">
      <c r="C16" t="s">
        <v>187</v>
      </c>
      <c r="F16" s="72">
        <v>200000</v>
      </c>
      <c r="G16" s="1">
        <v>44929</v>
      </c>
      <c r="I16">
        <v>2032</v>
      </c>
    </row>
    <row r="17" spans="3:10" x14ac:dyDescent="0.25">
      <c r="C17" t="s">
        <v>186</v>
      </c>
      <c r="F17" s="72">
        <v>200000</v>
      </c>
      <c r="G17" s="1">
        <v>44931</v>
      </c>
      <c r="I17">
        <v>2038</v>
      </c>
    </row>
    <row r="18" spans="3:10" x14ac:dyDescent="0.25">
      <c r="C18" t="s">
        <v>182</v>
      </c>
      <c r="F18" s="72">
        <v>200000</v>
      </c>
      <c r="G18" s="1">
        <v>44935</v>
      </c>
      <c r="I18">
        <v>2021</v>
      </c>
    </row>
    <row r="19" spans="3:10" x14ac:dyDescent="0.25">
      <c r="C19" t="s">
        <v>186</v>
      </c>
      <c r="F19" s="72">
        <v>200000</v>
      </c>
      <c r="G19" s="1">
        <v>44940</v>
      </c>
      <c r="J19" t="s">
        <v>188</v>
      </c>
    </row>
    <row r="20" spans="3:10" x14ac:dyDescent="0.25">
      <c r="C20" t="s">
        <v>186</v>
      </c>
      <c r="F20" s="72">
        <v>100000</v>
      </c>
      <c r="G20" s="1">
        <v>44946</v>
      </c>
      <c r="J20" t="s">
        <v>189</v>
      </c>
    </row>
    <row r="21" spans="3:10" x14ac:dyDescent="0.25">
      <c r="C21" t="s">
        <v>186</v>
      </c>
      <c r="F21" s="72">
        <v>100000</v>
      </c>
      <c r="G21" s="1">
        <v>44948</v>
      </c>
      <c r="J21" t="s">
        <v>189</v>
      </c>
    </row>
    <row r="22" spans="3:10" x14ac:dyDescent="0.25">
      <c r="C22" t="s">
        <v>186</v>
      </c>
      <c r="F22" s="72">
        <v>100000</v>
      </c>
      <c r="G22" s="1">
        <v>44945</v>
      </c>
      <c r="J22" t="s">
        <v>190</v>
      </c>
    </row>
    <row r="23" spans="3:10" x14ac:dyDescent="0.25">
      <c r="C23" t="s">
        <v>186</v>
      </c>
      <c r="F23" s="72">
        <v>100000</v>
      </c>
      <c r="G23" s="1">
        <v>44945</v>
      </c>
      <c r="J23" t="s">
        <v>190</v>
      </c>
    </row>
    <row r="24" spans="3:10" x14ac:dyDescent="0.25">
      <c r="C24" t="s">
        <v>191</v>
      </c>
      <c r="F24" s="72">
        <v>100000</v>
      </c>
      <c r="G24" s="1">
        <v>44949</v>
      </c>
      <c r="J24" t="s">
        <v>192</v>
      </c>
    </row>
    <row r="25" spans="3:10" x14ac:dyDescent="0.25">
      <c r="C25" t="s">
        <v>186</v>
      </c>
      <c r="F25" s="72">
        <v>200000</v>
      </c>
      <c r="G25" s="1">
        <v>44952</v>
      </c>
      <c r="J25" t="s">
        <v>190</v>
      </c>
    </row>
    <row r="26" spans="3:10" x14ac:dyDescent="0.25">
      <c r="C26" t="s">
        <v>186</v>
      </c>
      <c r="F26" s="72">
        <v>100000</v>
      </c>
      <c r="G26" s="1">
        <v>44964</v>
      </c>
      <c r="J26" t="s">
        <v>190</v>
      </c>
    </row>
    <row r="27" spans="3:10" x14ac:dyDescent="0.25">
      <c r="G27" s="1"/>
    </row>
    <row r="28" spans="3:10" x14ac:dyDescent="0.25">
      <c r="G28" s="1"/>
    </row>
    <row r="29" spans="3:10" x14ac:dyDescent="0.25">
      <c r="C29" t="s">
        <v>193</v>
      </c>
      <c r="F29">
        <f>SUM(F7:F26)</f>
        <v>3600000</v>
      </c>
      <c r="I29">
        <f>I7+I8+I9+I10+I11+I12+I13+I14+I15+I16+I17+I18+I6+I5+I4</f>
        <v>33022</v>
      </c>
    </row>
    <row r="30" spans="3:10" x14ac:dyDescent="0.25">
      <c r="C30" t="s">
        <v>194</v>
      </c>
      <c r="F30">
        <f>F3-F29</f>
        <v>200000</v>
      </c>
      <c r="G30" s="2" t="s">
        <v>195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4256-57AF-45FD-94A4-B3CA3841198B}">
  <dimension ref="E2:G10"/>
  <sheetViews>
    <sheetView workbookViewId="0">
      <selection activeCell="C13" sqref="C13"/>
    </sheetView>
  </sheetViews>
  <sheetFormatPr defaultRowHeight="15" x14ac:dyDescent="0.25"/>
  <cols>
    <col min="5" max="5" width="24.7109375" bestFit="1" customWidth="1"/>
  </cols>
  <sheetData>
    <row r="2" spans="5:7" x14ac:dyDescent="0.25">
      <c r="E2" t="s">
        <v>196</v>
      </c>
      <c r="F2">
        <v>2400000</v>
      </c>
    </row>
    <row r="3" spans="5:7" x14ac:dyDescent="0.25">
      <c r="E3" t="s">
        <v>197</v>
      </c>
      <c r="F3">
        <v>500000</v>
      </c>
    </row>
    <row r="4" spans="5:7" x14ac:dyDescent="0.25">
      <c r="E4" t="s">
        <v>198</v>
      </c>
      <c r="F4">
        <v>400000</v>
      </c>
    </row>
    <row r="5" spans="5:7" x14ac:dyDescent="0.25">
      <c r="E5" t="s">
        <v>199</v>
      </c>
      <c r="F5">
        <v>75000</v>
      </c>
      <c r="G5" t="s">
        <v>200</v>
      </c>
    </row>
    <row r="6" spans="5:7" x14ac:dyDescent="0.25">
      <c r="E6" t="s">
        <v>201</v>
      </c>
      <c r="F6">
        <f>(2400000*0.7)/100</f>
        <v>16800</v>
      </c>
      <c r="G6" t="s">
        <v>202</v>
      </c>
    </row>
    <row r="7" spans="5:7" x14ac:dyDescent="0.25">
      <c r="E7" t="s">
        <v>203</v>
      </c>
    </row>
    <row r="8" spans="5:7" x14ac:dyDescent="0.25">
      <c r="E8" t="s">
        <v>204</v>
      </c>
      <c r="F8">
        <v>8</v>
      </c>
    </row>
    <row r="9" spans="5:7" x14ac:dyDescent="0.25">
      <c r="F9">
        <f>F6*F8</f>
        <v>134400</v>
      </c>
    </row>
    <row r="10" spans="5:7" x14ac:dyDescent="0.25">
      <c r="E10" t="s">
        <v>205</v>
      </c>
      <c r="F10">
        <v>600000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3804-2252-4DF0-8D19-CB78E7B42CBD}">
  <dimension ref="B2:J12"/>
  <sheetViews>
    <sheetView workbookViewId="0">
      <selection activeCell="G17" sqref="G17"/>
    </sheetView>
  </sheetViews>
  <sheetFormatPr defaultRowHeight="15" x14ac:dyDescent="0.25"/>
  <cols>
    <col min="2" max="2" width="35" bestFit="1" customWidth="1"/>
    <col min="3" max="3" width="15.28515625" customWidth="1"/>
    <col min="7" max="8" width="10.5703125" bestFit="1" customWidth="1"/>
    <col min="9" max="9" width="10.42578125" bestFit="1" customWidth="1"/>
    <col min="10" max="10" width="14.42578125" customWidth="1"/>
  </cols>
  <sheetData>
    <row r="2" spans="2:10" x14ac:dyDescent="0.25">
      <c r="B2" s="13" t="s">
        <v>206</v>
      </c>
      <c r="C2" s="13" t="s">
        <v>45</v>
      </c>
      <c r="G2" s="11" t="s">
        <v>207</v>
      </c>
      <c r="H2" s="11" t="s">
        <v>208</v>
      </c>
      <c r="I2" s="11" t="s">
        <v>209</v>
      </c>
      <c r="J2" s="11" t="s">
        <v>210</v>
      </c>
    </row>
    <row r="3" spans="2:10" x14ac:dyDescent="0.25">
      <c r="B3" s="11" t="s">
        <v>211</v>
      </c>
      <c r="C3" s="11">
        <v>850000</v>
      </c>
      <c r="G3" s="11">
        <v>2550000</v>
      </c>
      <c r="H3" s="11">
        <v>100000</v>
      </c>
      <c r="I3" s="21">
        <v>44365</v>
      </c>
      <c r="J3" s="11" t="s">
        <v>212</v>
      </c>
    </row>
    <row r="4" spans="2:10" x14ac:dyDescent="0.25">
      <c r="B4" s="11" t="s">
        <v>213</v>
      </c>
      <c r="C4" s="11">
        <v>200000</v>
      </c>
      <c r="G4" s="11"/>
      <c r="H4" s="11">
        <v>100000</v>
      </c>
      <c r="I4" s="21">
        <v>44365</v>
      </c>
      <c r="J4" s="11" t="s">
        <v>214</v>
      </c>
    </row>
    <row r="5" spans="2:10" x14ac:dyDescent="0.25">
      <c r="B5" s="11" t="s">
        <v>215</v>
      </c>
      <c r="C5" s="11">
        <v>150000</v>
      </c>
    </row>
    <row r="6" spans="2:10" x14ac:dyDescent="0.25">
      <c r="B6" s="11" t="s">
        <v>216</v>
      </c>
      <c r="C6" s="11">
        <v>250000</v>
      </c>
    </row>
    <row r="7" spans="2:10" x14ac:dyDescent="0.25">
      <c r="B7" s="13" t="s">
        <v>217</v>
      </c>
      <c r="C7" s="13">
        <f>SUM(C3:C6)</f>
        <v>1450000</v>
      </c>
    </row>
    <row r="11" spans="2:10" x14ac:dyDescent="0.25">
      <c r="B11" s="11" t="s">
        <v>218</v>
      </c>
      <c r="C11" s="11">
        <v>900000</v>
      </c>
      <c r="D11" t="s">
        <v>219</v>
      </c>
    </row>
    <row r="12" spans="2:10" x14ac:dyDescent="0.25">
      <c r="B12" s="11" t="s">
        <v>220</v>
      </c>
      <c r="C12" s="11">
        <v>100000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6B6E-C5A8-4FDA-AA7A-16AAFFC745B1}">
  <dimension ref="A2:S92"/>
  <sheetViews>
    <sheetView topLeftCell="A45" zoomScale="70" zoomScaleNormal="70" workbookViewId="0">
      <selection activeCell="Q75" sqref="Q75"/>
    </sheetView>
  </sheetViews>
  <sheetFormatPr defaultRowHeight="15" x14ac:dyDescent="0.25"/>
  <cols>
    <col min="2" max="2" width="35.42578125" bestFit="1" customWidth="1"/>
    <col min="3" max="3" width="13.7109375" bestFit="1" customWidth="1"/>
    <col min="4" max="4" width="17.28515625" bestFit="1" customWidth="1"/>
    <col min="5" max="5" width="16.85546875" bestFit="1" customWidth="1"/>
    <col min="6" max="6" width="14.7109375" bestFit="1" customWidth="1"/>
    <col min="7" max="7" width="25.85546875" customWidth="1"/>
    <col min="8" max="8" width="18.42578125" bestFit="1" customWidth="1"/>
    <col min="9" max="9" width="12.42578125" bestFit="1" customWidth="1"/>
    <col min="10" max="10" width="7.140625" bestFit="1" customWidth="1"/>
    <col min="12" max="12" width="18.85546875" customWidth="1"/>
    <col min="13" max="13" width="13.42578125" bestFit="1" customWidth="1"/>
  </cols>
  <sheetData>
    <row r="2" spans="1:19" x14ac:dyDescent="0.25">
      <c r="A2" s="11" t="s">
        <v>221</v>
      </c>
      <c r="B2" s="11" t="s">
        <v>209</v>
      </c>
      <c r="C2" s="11" t="s">
        <v>222</v>
      </c>
      <c r="D2" s="11" t="s">
        <v>207</v>
      </c>
      <c r="G2" s="11" t="s">
        <v>223</v>
      </c>
      <c r="H2" s="11" t="s">
        <v>224</v>
      </c>
      <c r="I2" s="11" t="s">
        <v>225</v>
      </c>
      <c r="L2" s="11" t="s">
        <v>226</v>
      </c>
      <c r="M2" s="11"/>
      <c r="N2" s="11" cm="1">
        <f t="array" ref="N2">SUM(D3:D11+D43-D12)</f>
        <v>22681.120000000003</v>
      </c>
      <c r="O2" s="11"/>
      <c r="P2" s="11"/>
      <c r="Q2" s="11"/>
      <c r="R2" s="11"/>
      <c r="S2" s="11"/>
    </row>
    <row r="3" spans="1:19" x14ac:dyDescent="0.25">
      <c r="A3" s="64">
        <v>44470</v>
      </c>
      <c r="B3" s="21">
        <v>44476</v>
      </c>
      <c r="C3" s="11" t="s">
        <v>227</v>
      </c>
      <c r="D3" s="11">
        <v>2000</v>
      </c>
      <c r="G3" s="11">
        <v>50.32</v>
      </c>
      <c r="H3" s="11" t="s">
        <v>228</v>
      </c>
      <c r="I3" s="21">
        <v>44502</v>
      </c>
      <c r="L3" s="11" t="s">
        <v>229</v>
      </c>
      <c r="M3" s="11"/>
      <c r="N3" s="11">
        <f>SUM(M17:M31)+M50+M55+M59-1000</f>
        <v>20313.439999999995</v>
      </c>
      <c r="O3" s="11"/>
      <c r="P3" s="11"/>
      <c r="Q3" s="11"/>
      <c r="R3" s="11"/>
      <c r="S3" s="11"/>
    </row>
    <row r="4" spans="1:19" x14ac:dyDescent="0.25">
      <c r="A4" s="64">
        <v>44470</v>
      </c>
      <c r="B4" s="21">
        <v>44477</v>
      </c>
      <c r="C4" s="11" t="s">
        <v>230</v>
      </c>
      <c r="D4" s="11">
        <v>1495</v>
      </c>
      <c r="G4" s="11">
        <v>50.32</v>
      </c>
      <c r="H4" s="11" t="s">
        <v>228</v>
      </c>
      <c r="I4" s="21">
        <v>44534</v>
      </c>
      <c r="L4" s="11" t="s">
        <v>231</v>
      </c>
      <c r="M4" s="11"/>
      <c r="N4" s="11">
        <f>SUM(H19+H22+H25+H28+H31+H50+H55+H59)</f>
        <v>1111.8</v>
      </c>
      <c r="O4" s="11"/>
      <c r="P4" s="11"/>
      <c r="Q4" s="11"/>
      <c r="R4" s="11"/>
      <c r="S4" s="11"/>
    </row>
    <row r="5" spans="1:19" x14ac:dyDescent="0.25">
      <c r="A5" s="64">
        <v>44501</v>
      </c>
      <c r="B5" s="21">
        <v>44504</v>
      </c>
      <c r="C5" s="11" t="s">
        <v>232</v>
      </c>
      <c r="D5" s="11">
        <v>2085</v>
      </c>
      <c r="G5" s="11">
        <v>50.32</v>
      </c>
      <c r="H5" s="11" t="s">
        <v>228</v>
      </c>
      <c r="I5" s="21">
        <v>44567</v>
      </c>
      <c r="L5" s="11" t="s">
        <v>233</v>
      </c>
      <c r="M5" s="11"/>
      <c r="N5" s="11">
        <f>G3+G4+G5</f>
        <v>150.96</v>
      </c>
      <c r="O5" s="11"/>
      <c r="P5" s="11"/>
      <c r="Q5" s="11"/>
      <c r="R5" s="11"/>
      <c r="S5" s="11"/>
    </row>
    <row r="6" spans="1:19" x14ac:dyDescent="0.25">
      <c r="A6" s="64">
        <v>44501</v>
      </c>
      <c r="B6" s="21">
        <v>44506</v>
      </c>
      <c r="C6" s="11" t="s">
        <v>227</v>
      </c>
      <c r="D6" s="11">
        <v>1630</v>
      </c>
      <c r="L6" s="11" t="s">
        <v>234</v>
      </c>
      <c r="M6" s="11"/>
      <c r="N6" s="11">
        <v>161</v>
      </c>
      <c r="O6" s="11"/>
      <c r="P6" s="11"/>
      <c r="Q6" s="11"/>
      <c r="R6" s="11"/>
      <c r="S6" s="11"/>
    </row>
    <row r="7" spans="1:19" x14ac:dyDescent="0.25">
      <c r="A7" s="64">
        <v>44501</v>
      </c>
      <c r="B7" s="21">
        <v>44507</v>
      </c>
      <c r="C7" s="11" t="s">
        <v>235</v>
      </c>
      <c r="D7" s="11">
        <v>1632</v>
      </c>
      <c r="L7" s="11"/>
      <c r="M7" s="11"/>
      <c r="N7" s="11">
        <f>N2-N3-N4-N5-N6</f>
        <v>943.92000000000758</v>
      </c>
      <c r="O7" s="11" t="s">
        <v>236</v>
      </c>
      <c r="P7" s="11"/>
      <c r="Q7" s="11"/>
      <c r="R7" s="11"/>
      <c r="S7" s="11"/>
    </row>
    <row r="8" spans="1:19" x14ac:dyDescent="0.25">
      <c r="A8" s="64">
        <v>44501</v>
      </c>
      <c r="B8" s="21">
        <v>44529</v>
      </c>
      <c r="C8" s="11" t="s">
        <v>237</v>
      </c>
      <c r="D8" s="11">
        <v>3132</v>
      </c>
      <c r="L8" s="11"/>
      <c r="M8" s="11"/>
      <c r="N8" s="11"/>
      <c r="O8" s="11"/>
      <c r="P8" s="11"/>
      <c r="Q8" s="11"/>
      <c r="R8" s="11"/>
      <c r="S8" s="11"/>
    </row>
    <row r="9" spans="1:19" x14ac:dyDescent="0.25">
      <c r="A9" s="64">
        <v>44543</v>
      </c>
      <c r="B9" s="21">
        <v>44543</v>
      </c>
      <c r="C9" s="11" t="s">
        <v>235</v>
      </c>
      <c r="D9" s="11">
        <v>5712</v>
      </c>
      <c r="L9" s="11" t="s">
        <v>238</v>
      </c>
      <c r="M9" s="11"/>
      <c r="N9" s="11">
        <f>G19+G22+G25+G28+G31+G50+G55+G59</f>
        <v>1343.82</v>
      </c>
      <c r="O9" s="11"/>
      <c r="P9" s="11"/>
      <c r="Q9" s="11"/>
      <c r="R9" s="11"/>
      <c r="S9" s="11"/>
    </row>
    <row r="10" spans="1:19" x14ac:dyDescent="0.25">
      <c r="A10" s="64">
        <v>44578</v>
      </c>
      <c r="B10" s="21">
        <v>44578</v>
      </c>
      <c r="C10" s="11" t="s">
        <v>235</v>
      </c>
      <c r="D10" s="11">
        <v>2958</v>
      </c>
      <c r="L10" s="11" t="s">
        <v>239</v>
      </c>
      <c r="M10" s="11"/>
      <c r="N10" s="11"/>
      <c r="O10" s="11"/>
      <c r="P10" s="11"/>
      <c r="Q10" s="11"/>
      <c r="R10" s="11">
        <f>N9-N7</f>
        <v>399.89999999999236</v>
      </c>
      <c r="S10" s="11"/>
    </row>
    <row r="11" spans="1:19" x14ac:dyDescent="0.25">
      <c r="A11" s="64">
        <v>44610</v>
      </c>
      <c r="B11" s="21">
        <v>44610</v>
      </c>
      <c r="C11" s="11" t="s">
        <v>235</v>
      </c>
      <c r="D11" s="11">
        <v>2958</v>
      </c>
      <c r="L11" s="11" t="s">
        <v>240</v>
      </c>
      <c r="M11" s="11"/>
      <c r="N11" s="11"/>
      <c r="O11" s="11"/>
      <c r="P11" s="11"/>
      <c r="Q11" s="11"/>
      <c r="R11" s="11">
        <f>N7</f>
        <v>943.92000000000758</v>
      </c>
      <c r="S11" s="11"/>
    </row>
    <row r="12" spans="1:19" x14ac:dyDescent="0.25">
      <c r="A12" t="s">
        <v>241</v>
      </c>
      <c r="B12" s="1"/>
      <c r="D12">
        <v>2856.32</v>
      </c>
    </row>
    <row r="13" spans="1:19" x14ac:dyDescent="0.25">
      <c r="A13" s="65"/>
      <c r="B13" s="1"/>
      <c r="D13">
        <f>SUM(D3:D11)-D12</f>
        <v>20745.68</v>
      </c>
    </row>
    <row r="15" spans="1:19" x14ac:dyDescent="0.25">
      <c r="B15" s="1"/>
    </row>
    <row r="16" spans="1:19" x14ac:dyDescent="0.25">
      <c r="A16" s="11" t="s">
        <v>221</v>
      </c>
      <c r="B16" s="11" t="s">
        <v>224</v>
      </c>
      <c r="C16" s="11" t="s">
        <v>242</v>
      </c>
      <c r="D16" s="11" t="s">
        <v>243</v>
      </c>
      <c r="E16" s="11" t="s">
        <v>244</v>
      </c>
      <c r="F16" s="11" t="s">
        <v>245</v>
      </c>
      <c r="G16" s="11" t="s">
        <v>246</v>
      </c>
      <c r="H16" s="11" t="s">
        <v>247</v>
      </c>
      <c r="I16" s="11" t="s">
        <v>248</v>
      </c>
      <c r="J16" s="11" t="s">
        <v>249</v>
      </c>
      <c r="K16" s="11" t="s">
        <v>250</v>
      </c>
      <c r="L16" s="11" t="s">
        <v>251</v>
      </c>
      <c r="M16" s="11" t="s">
        <v>252</v>
      </c>
    </row>
    <row r="17" spans="1:14" x14ac:dyDescent="0.25">
      <c r="A17" s="64">
        <v>44470</v>
      </c>
      <c r="B17" s="21" t="s">
        <v>253</v>
      </c>
      <c r="C17" s="11" t="s">
        <v>254</v>
      </c>
      <c r="D17" s="11">
        <v>80</v>
      </c>
      <c r="E17" s="11">
        <v>8.91</v>
      </c>
      <c r="F17" s="11">
        <f t="shared" ref="F17:F31" si="0">E17*D17</f>
        <v>712.8</v>
      </c>
      <c r="G17" s="11">
        <v>0</v>
      </c>
      <c r="H17" s="11">
        <v>0</v>
      </c>
      <c r="I17" s="11">
        <v>0</v>
      </c>
      <c r="J17" s="11">
        <f t="shared" ref="J17:J31" si="1">F17-H17-I17</f>
        <v>712.8</v>
      </c>
      <c r="K17" s="11">
        <f t="shared" ref="K17:K31" si="2">J17-G17</f>
        <v>712.8</v>
      </c>
      <c r="L17" s="21">
        <v>44477</v>
      </c>
      <c r="M17" s="11">
        <v>710.32</v>
      </c>
    </row>
    <row r="18" spans="1:14" x14ac:dyDescent="0.25">
      <c r="A18" s="64">
        <v>44470</v>
      </c>
      <c r="B18" s="21" t="s">
        <v>255</v>
      </c>
      <c r="C18" s="11" t="s">
        <v>256</v>
      </c>
      <c r="D18" s="11">
        <v>80</v>
      </c>
      <c r="E18" s="11">
        <v>8.91</v>
      </c>
      <c r="F18" s="11">
        <f t="shared" si="0"/>
        <v>712.8</v>
      </c>
      <c r="G18" s="11">
        <v>0</v>
      </c>
      <c r="H18" s="11">
        <v>0</v>
      </c>
      <c r="I18" s="11">
        <v>0</v>
      </c>
      <c r="J18" s="11">
        <f t="shared" si="1"/>
        <v>712.8</v>
      </c>
      <c r="K18" s="11">
        <f t="shared" si="2"/>
        <v>712.8</v>
      </c>
      <c r="L18" s="21">
        <v>44477</v>
      </c>
      <c r="M18" s="11">
        <v>710.32</v>
      </c>
    </row>
    <row r="19" spans="1:14" x14ac:dyDescent="0.25">
      <c r="A19" s="64">
        <v>44470</v>
      </c>
      <c r="B19" s="21" t="s">
        <v>257</v>
      </c>
      <c r="C19" s="11" t="s">
        <v>258</v>
      </c>
      <c r="D19" s="11">
        <v>173.33</v>
      </c>
      <c r="E19" s="11">
        <v>11</v>
      </c>
      <c r="F19" s="11">
        <f t="shared" si="0"/>
        <v>1906.63</v>
      </c>
      <c r="G19" s="11">
        <v>161.41</v>
      </c>
      <c r="H19" s="22">
        <v>133.15</v>
      </c>
      <c r="I19" s="11">
        <v>0</v>
      </c>
      <c r="J19" s="11">
        <f t="shared" si="1"/>
        <v>1773.48</v>
      </c>
      <c r="K19" s="11">
        <f t="shared" si="2"/>
        <v>1612.07</v>
      </c>
      <c r="L19" s="21">
        <v>44480</v>
      </c>
      <c r="M19" s="11">
        <v>1773.8</v>
      </c>
      <c r="N19">
        <f>M19+H19+J18+J17</f>
        <v>3332.55</v>
      </c>
    </row>
    <row r="20" spans="1:14" x14ac:dyDescent="0.25">
      <c r="A20" s="64">
        <v>44501</v>
      </c>
      <c r="B20" s="21" t="s">
        <v>253</v>
      </c>
      <c r="C20" s="11" t="s">
        <v>254</v>
      </c>
      <c r="D20" s="11">
        <v>80</v>
      </c>
      <c r="E20" s="11">
        <v>8.91</v>
      </c>
      <c r="F20" s="11">
        <f t="shared" si="0"/>
        <v>712.8</v>
      </c>
      <c r="G20" s="11">
        <v>0</v>
      </c>
      <c r="H20" s="11">
        <v>0</v>
      </c>
      <c r="I20" s="11">
        <v>0</v>
      </c>
      <c r="J20" s="11">
        <f t="shared" si="1"/>
        <v>712.8</v>
      </c>
      <c r="K20" s="11">
        <f t="shared" si="2"/>
        <v>712.8</v>
      </c>
      <c r="L20" s="21">
        <v>44510</v>
      </c>
      <c r="M20" s="11">
        <v>712.8</v>
      </c>
    </row>
    <row r="21" spans="1:14" x14ac:dyDescent="0.25">
      <c r="A21" s="64">
        <v>44501</v>
      </c>
      <c r="B21" s="21" t="s">
        <v>255</v>
      </c>
      <c r="C21" s="11" t="s">
        <v>256</v>
      </c>
      <c r="D21" s="11">
        <v>80</v>
      </c>
      <c r="E21" s="11">
        <v>8.91</v>
      </c>
      <c r="F21" s="11">
        <f t="shared" si="0"/>
        <v>712.8</v>
      </c>
      <c r="G21" s="11">
        <v>0</v>
      </c>
      <c r="H21" s="11">
        <v>0</v>
      </c>
      <c r="I21" s="11">
        <v>0</v>
      </c>
      <c r="J21" s="11">
        <f t="shared" si="1"/>
        <v>712.8</v>
      </c>
      <c r="K21" s="11">
        <f t="shared" si="2"/>
        <v>712.8</v>
      </c>
      <c r="L21" s="21">
        <v>44510</v>
      </c>
      <c r="M21" s="11">
        <v>712.8</v>
      </c>
    </row>
    <row r="22" spans="1:14" x14ac:dyDescent="0.25">
      <c r="A22" s="64">
        <v>44501</v>
      </c>
      <c r="B22" s="21" t="s">
        <v>257</v>
      </c>
      <c r="C22" s="11" t="s">
        <v>258</v>
      </c>
      <c r="D22" s="11">
        <v>173.33</v>
      </c>
      <c r="E22" s="11">
        <v>11</v>
      </c>
      <c r="F22" s="11">
        <f t="shared" si="0"/>
        <v>1906.63</v>
      </c>
      <c r="G22" s="11">
        <v>161.41</v>
      </c>
      <c r="H22" s="22">
        <v>133.15</v>
      </c>
      <c r="I22" s="11">
        <v>0</v>
      </c>
      <c r="J22" s="11">
        <f t="shared" si="1"/>
        <v>1773.48</v>
      </c>
      <c r="K22" s="11">
        <f t="shared" si="2"/>
        <v>1612.07</v>
      </c>
      <c r="L22" s="21">
        <v>44510</v>
      </c>
      <c r="M22" s="11">
        <v>1773.8</v>
      </c>
      <c r="N22">
        <f>M22+H22+J21+J20</f>
        <v>3332.55</v>
      </c>
    </row>
    <row r="23" spans="1:14" x14ac:dyDescent="0.25">
      <c r="A23" s="64">
        <v>44531</v>
      </c>
      <c r="B23" s="21" t="s">
        <v>253</v>
      </c>
      <c r="C23" s="11" t="s">
        <v>254</v>
      </c>
      <c r="D23" s="11">
        <v>80</v>
      </c>
      <c r="E23" s="11">
        <v>8.91</v>
      </c>
      <c r="F23" s="11">
        <f t="shared" si="0"/>
        <v>712.8</v>
      </c>
      <c r="G23" s="11">
        <v>0</v>
      </c>
      <c r="H23" s="11">
        <v>0</v>
      </c>
      <c r="I23" s="11">
        <v>0</v>
      </c>
      <c r="J23" s="11">
        <f t="shared" si="1"/>
        <v>712.8</v>
      </c>
      <c r="K23" s="11">
        <f t="shared" si="2"/>
        <v>712.8</v>
      </c>
      <c r="L23" s="21">
        <v>44540</v>
      </c>
      <c r="M23" s="11">
        <v>712.8</v>
      </c>
    </row>
    <row r="24" spans="1:14" x14ac:dyDescent="0.25">
      <c r="A24" s="64">
        <v>44531</v>
      </c>
      <c r="B24" s="21" t="s">
        <v>255</v>
      </c>
      <c r="C24" s="11" t="s">
        <v>256</v>
      </c>
      <c r="D24" s="11">
        <v>80</v>
      </c>
      <c r="E24" s="11">
        <v>8.91</v>
      </c>
      <c r="F24" s="11">
        <f t="shared" si="0"/>
        <v>712.8</v>
      </c>
      <c r="G24" s="11">
        <v>0</v>
      </c>
      <c r="H24" s="11">
        <v>0</v>
      </c>
      <c r="I24" s="11">
        <v>0</v>
      </c>
      <c r="J24" s="11">
        <f t="shared" si="1"/>
        <v>712.8</v>
      </c>
      <c r="K24" s="11">
        <f t="shared" si="2"/>
        <v>712.8</v>
      </c>
      <c r="L24" s="21">
        <v>44540</v>
      </c>
      <c r="M24" s="11">
        <v>712.8</v>
      </c>
    </row>
    <row r="25" spans="1:14" x14ac:dyDescent="0.25">
      <c r="A25" s="64">
        <v>44531</v>
      </c>
      <c r="B25" s="21" t="s">
        <v>257</v>
      </c>
      <c r="C25" s="11" t="s">
        <v>258</v>
      </c>
      <c r="D25" s="11">
        <v>173.33</v>
      </c>
      <c r="E25" s="11">
        <v>11</v>
      </c>
      <c r="F25" s="11">
        <f t="shared" si="0"/>
        <v>1906.63</v>
      </c>
      <c r="G25" s="11">
        <v>161.41</v>
      </c>
      <c r="H25" s="22">
        <v>133.15</v>
      </c>
      <c r="I25" s="11">
        <v>0</v>
      </c>
      <c r="J25" s="11">
        <f t="shared" si="1"/>
        <v>1773.48</v>
      </c>
      <c r="K25" s="11">
        <f t="shared" si="2"/>
        <v>1612.07</v>
      </c>
      <c r="L25" s="21">
        <v>44540</v>
      </c>
      <c r="M25" s="11">
        <v>1773.8</v>
      </c>
      <c r="N25">
        <f>M25+H25+J24+J23</f>
        <v>3332.55</v>
      </c>
    </row>
    <row r="26" spans="1:14" x14ac:dyDescent="0.25">
      <c r="A26" s="64">
        <v>44562</v>
      </c>
      <c r="B26" s="21" t="s">
        <v>253</v>
      </c>
      <c r="C26" s="11" t="s">
        <v>254</v>
      </c>
      <c r="D26" s="11">
        <v>80</v>
      </c>
      <c r="E26" s="11">
        <v>8.91</v>
      </c>
      <c r="F26" s="11">
        <f t="shared" si="0"/>
        <v>712.8</v>
      </c>
      <c r="G26" s="11">
        <v>0</v>
      </c>
      <c r="H26" s="11">
        <v>0</v>
      </c>
      <c r="I26" s="11">
        <v>0</v>
      </c>
      <c r="J26" s="11">
        <f t="shared" si="1"/>
        <v>712.8</v>
      </c>
      <c r="K26" s="11">
        <f t="shared" si="2"/>
        <v>712.8</v>
      </c>
      <c r="L26" s="21">
        <v>44571</v>
      </c>
      <c r="M26" s="11">
        <v>712.8</v>
      </c>
    </row>
    <row r="27" spans="1:14" x14ac:dyDescent="0.25">
      <c r="A27" s="64">
        <v>44562</v>
      </c>
      <c r="B27" s="21" t="s">
        <v>255</v>
      </c>
      <c r="C27" s="11" t="s">
        <v>256</v>
      </c>
      <c r="D27" s="11">
        <v>80</v>
      </c>
      <c r="E27" s="11">
        <v>8.91</v>
      </c>
      <c r="F27" s="11">
        <f t="shared" si="0"/>
        <v>712.8</v>
      </c>
      <c r="G27" s="11">
        <v>0</v>
      </c>
      <c r="H27" s="11">
        <v>0</v>
      </c>
      <c r="I27" s="11">
        <v>0</v>
      </c>
      <c r="J27" s="11">
        <f t="shared" si="1"/>
        <v>712.8</v>
      </c>
      <c r="K27" s="11">
        <f t="shared" si="2"/>
        <v>712.8</v>
      </c>
      <c r="L27" s="21">
        <v>44571</v>
      </c>
      <c r="M27" s="11">
        <v>712.8</v>
      </c>
    </row>
    <row r="28" spans="1:14" x14ac:dyDescent="0.25">
      <c r="A28" s="64">
        <v>44562</v>
      </c>
      <c r="B28" s="21" t="s">
        <v>257</v>
      </c>
      <c r="C28" s="11" t="s">
        <v>258</v>
      </c>
      <c r="D28" s="11">
        <v>173.33</v>
      </c>
      <c r="E28" s="11">
        <v>11</v>
      </c>
      <c r="F28" s="11">
        <f t="shared" si="0"/>
        <v>1906.63</v>
      </c>
      <c r="G28" s="11">
        <v>161.41</v>
      </c>
      <c r="H28" s="22">
        <v>133.15</v>
      </c>
      <c r="I28" s="11">
        <v>0</v>
      </c>
      <c r="J28" s="11">
        <f t="shared" si="1"/>
        <v>1773.48</v>
      </c>
      <c r="K28" s="11">
        <f t="shared" si="2"/>
        <v>1612.07</v>
      </c>
      <c r="L28" s="21">
        <v>44571</v>
      </c>
      <c r="M28" s="11">
        <v>1773.8</v>
      </c>
      <c r="N28">
        <f>M28+H28+J27+J26</f>
        <v>3332.55</v>
      </c>
    </row>
    <row r="29" spans="1:14" x14ac:dyDescent="0.25">
      <c r="A29" s="64">
        <v>44593</v>
      </c>
      <c r="B29" s="21" t="s">
        <v>253</v>
      </c>
      <c r="C29" s="11" t="s">
        <v>254</v>
      </c>
      <c r="D29" s="11">
        <v>80</v>
      </c>
      <c r="E29" s="11">
        <v>8.91</v>
      </c>
      <c r="F29" s="11">
        <f t="shared" si="0"/>
        <v>712.8</v>
      </c>
      <c r="G29" s="11">
        <v>0</v>
      </c>
      <c r="H29" s="11">
        <v>0</v>
      </c>
      <c r="I29" s="11">
        <v>0</v>
      </c>
      <c r="J29" s="11">
        <f t="shared" si="1"/>
        <v>712.8</v>
      </c>
      <c r="K29" s="11">
        <f t="shared" si="2"/>
        <v>712.8</v>
      </c>
      <c r="L29" s="21">
        <v>44604</v>
      </c>
      <c r="M29" s="11">
        <v>712.8</v>
      </c>
    </row>
    <row r="30" spans="1:14" x14ac:dyDescent="0.25">
      <c r="A30" s="64">
        <v>44593</v>
      </c>
      <c r="B30" s="21" t="s">
        <v>255</v>
      </c>
      <c r="C30" s="11" t="s">
        <v>256</v>
      </c>
      <c r="D30" s="11">
        <v>80</v>
      </c>
      <c r="E30" s="11">
        <v>8.91</v>
      </c>
      <c r="F30" s="11">
        <f t="shared" si="0"/>
        <v>712.8</v>
      </c>
      <c r="G30" s="11">
        <v>0</v>
      </c>
      <c r="H30" s="11">
        <v>0</v>
      </c>
      <c r="I30" s="11">
        <v>0</v>
      </c>
      <c r="J30" s="11">
        <f t="shared" si="1"/>
        <v>712.8</v>
      </c>
      <c r="K30" s="11">
        <f t="shared" si="2"/>
        <v>712.8</v>
      </c>
      <c r="L30" s="21">
        <v>44616</v>
      </c>
      <c r="M30" s="11">
        <v>712.8</v>
      </c>
    </row>
    <row r="31" spans="1:14" x14ac:dyDescent="0.25">
      <c r="A31" s="64">
        <v>44593</v>
      </c>
      <c r="B31" s="21" t="s">
        <v>257</v>
      </c>
      <c r="C31" s="11" t="s">
        <v>258</v>
      </c>
      <c r="D31" s="11">
        <v>173.33</v>
      </c>
      <c r="E31" s="11">
        <v>11</v>
      </c>
      <c r="F31" s="11">
        <f t="shared" si="0"/>
        <v>1906.63</v>
      </c>
      <c r="G31" s="11">
        <v>161.41</v>
      </c>
      <c r="H31" s="22">
        <v>133.15</v>
      </c>
      <c r="I31" s="11">
        <v>0</v>
      </c>
      <c r="J31" s="11">
        <f t="shared" si="1"/>
        <v>1773.48</v>
      </c>
      <c r="K31" s="11">
        <f t="shared" si="2"/>
        <v>1612.07</v>
      </c>
      <c r="L31" s="21">
        <v>44602</v>
      </c>
      <c r="M31" s="11">
        <v>1773.8</v>
      </c>
      <c r="N31">
        <f>M31+H31+J30+J29</f>
        <v>3332.55</v>
      </c>
    </row>
    <row r="33" spans="1:17" x14ac:dyDescent="0.25">
      <c r="G33" t="s">
        <v>259</v>
      </c>
      <c r="L33">
        <f>N31+N28+N25+N22+N19</f>
        <v>16662.75</v>
      </c>
      <c r="Q33">
        <f>SUM(M17:M31)</f>
        <v>15992.039999999995</v>
      </c>
    </row>
    <row r="34" spans="1:17" x14ac:dyDescent="0.25">
      <c r="H34" t="s">
        <v>260</v>
      </c>
      <c r="L34">
        <f>G31+G28+G25+G22+G19</f>
        <v>807.05</v>
      </c>
      <c r="Q34">
        <f>SUM(H17:H31)</f>
        <v>665.75</v>
      </c>
    </row>
    <row r="36" spans="1:17" x14ac:dyDescent="0.25">
      <c r="L36">
        <f>L34+L33</f>
        <v>17469.8</v>
      </c>
    </row>
    <row r="38" spans="1:17" x14ac:dyDescent="0.25">
      <c r="H38" t="s">
        <v>261</v>
      </c>
      <c r="L38">
        <f>D13-L36-L34-G3-G4-G5</f>
        <v>2317.8700000000003</v>
      </c>
    </row>
    <row r="39" spans="1:17" ht="15.75" thickBot="1" x14ac:dyDescent="0.3">
      <c r="L39">
        <v>3934.69</v>
      </c>
    </row>
    <row r="40" spans="1:17" ht="15.75" thickBot="1" x14ac:dyDescent="0.3">
      <c r="A40" s="127" t="s">
        <v>262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</row>
    <row r="42" spans="1:17" x14ac:dyDescent="0.25">
      <c r="A42" s="11" t="s">
        <v>221</v>
      </c>
      <c r="B42" s="11" t="s">
        <v>209</v>
      </c>
      <c r="C42" s="11" t="s">
        <v>222</v>
      </c>
      <c r="D42" s="11" t="s">
        <v>207</v>
      </c>
    </row>
    <row r="43" spans="1:17" x14ac:dyDescent="0.25">
      <c r="A43" s="64">
        <v>44621</v>
      </c>
      <c r="B43" s="21">
        <v>44641</v>
      </c>
      <c r="C43" s="11" t="s">
        <v>235</v>
      </c>
      <c r="D43" s="11">
        <v>2754</v>
      </c>
    </row>
    <row r="44" spans="1:17" x14ac:dyDescent="0.25">
      <c r="A44" s="64"/>
      <c r="B44" s="21"/>
      <c r="C44" s="11"/>
      <c r="D44" s="11"/>
    </row>
    <row r="49" spans="1:14" x14ac:dyDescent="0.25">
      <c r="A49" s="11" t="s">
        <v>221</v>
      </c>
      <c r="B49" s="11" t="s">
        <v>224</v>
      </c>
      <c r="C49" s="11" t="s">
        <v>242</v>
      </c>
      <c r="D49" s="11" t="s">
        <v>243</v>
      </c>
      <c r="E49" s="11" t="s">
        <v>244</v>
      </c>
      <c r="F49" s="11" t="s">
        <v>245</v>
      </c>
      <c r="G49" s="11" t="s">
        <v>246</v>
      </c>
      <c r="H49" s="11" t="s">
        <v>247</v>
      </c>
      <c r="I49" s="11" t="s">
        <v>248</v>
      </c>
      <c r="J49" s="11" t="s">
        <v>249</v>
      </c>
      <c r="K49" s="11" t="s">
        <v>250</v>
      </c>
      <c r="L49" s="11" t="s">
        <v>251</v>
      </c>
      <c r="M49" s="11" t="s">
        <v>252</v>
      </c>
    </row>
    <row r="50" spans="1:14" ht="15.75" thickBot="1" x14ac:dyDescent="0.3">
      <c r="A50" s="64">
        <v>44621</v>
      </c>
      <c r="B50" s="21" t="s">
        <v>257</v>
      </c>
      <c r="C50" s="11" t="s">
        <v>258</v>
      </c>
      <c r="D50" s="11">
        <v>173.33</v>
      </c>
      <c r="E50" s="11">
        <v>11</v>
      </c>
      <c r="F50" s="11">
        <f>E50*D50</f>
        <v>1906.63</v>
      </c>
      <c r="G50" s="11">
        <v>161.41</v>
      </c>
      <c r="H50" s="22">
        <v>133.15</v>
      </c>
      <c r="I50" s="11">
        <v>0</v>
      </c>
      <c r="J50" s="11">
        <f t="shared" ref="J50:J65" si="3">F50-H50-I50</f>
        <v>1773.48</v>
      </c>
      <c r="K50" s="11">
        <f t="shared" ref="K50:K57" si="4">J50-G50</f>
        <v>1612.07</v>
      </c>
      <c r="L50" s="21">
        <v>44602</v>
      </c>
      <c r="M50" s="11">
        <v>1773.8</v>
      </c>
    </row>
    <row r="51" spans="1:14" x14ac:dyDescent="0.25">
      <c r="A51" s="64">
        <v>44621</v>
      </c>
      <c r="B51" s="21" t="s">
        <v>253</v>
      </c>
      <c r="C51" s="11" t="s">
        <v>254</v>
      </c>
      <c r="D51" s="11">
        <v>80</v>
      </c>
      <c r="E51" s="11">
        <v>8.91</v>
      </c>
      <c r="F51" s="11">
        <f>E51*D51</f>
        <v>712.8</v>
      </c>
      <c r="G51" s="11">
        <v>0</v>
      </c>
      <c r="H51" s="11">
        <v>0</v>
      </c>
      <c r="I51" s="11">
        <v>0</v>
      </c>
      <c r="J51" s="11">
        <f t="shared" si="3"/>
        <v>712.8</v>
      </c>
      <c r="K51" s="11">
        <f t="shared" si="4"/>
        <v>712.8</v>
      </c>
      <c r="L51" s="21">
        <v>44604</v>
      </c>
      <c r="M51" s="66">
        <v>712.8</v>
      </c>
      <c r="N51" s="130" t="s">
        <v>263</v>
      </c>
    </row>
    <row r="52" spans="1:14" x14ac:dyDescent="0.25">
      <c r="A52" s="64">
        <v>44621</v>
      </c>
      <c r="B52" s="21" t="s">
        <v>255</v>
      </c>
      <c r="C52" s="11" t="s">
        <v>256</v>
      </c>
      <c r="D52" s="11">
        <v>80</v>
      </c>
      <c r="E52" s="11">
        <v>8.91</v>
      </c>
      <c r="F52" s="11">
        <f>E52*D52</f>
        <v>712.8</v>
      </c>
      <c r="G52" s="11">
        <v>0</v>
      </c>
      <c r="H52" s="11">
        <v>0</v>
      </c>
      <c r="I52" s="11">
        <v>0</v>
      </c>
      <c r="J52" s="11">
        <f t="shared" si="3"/>
        <v>712.8</v>
      </c>
      <c r="K52" s="11">
        <f t="shared" si="4"/>
        <v>712.8</v>
      </c>
      <c r="L52" s="21">
        <v>44616</v>
      </c>
      <c r="M52" s="66">
        <v>712.8</v>
      </c>
      <c r="N52" s="131"/>
    </row>
    <row r="53" spans="1:14" x14ac:dyDescent="0.25">
      <c r="A53" s="64">
        <v>44593</v>
      </c>
      <c r="B53" s="21" t="s">
        <v>264</v>
      </c>
      <c r="C53" s="11" t="s">
        <v>265</v>
      </c>
      <c r="D53" s="11">
        <v>80</v>
      </c>
      <c r="E53" s="11">
        <v>9.75</v>
      </c>
      <c r="F53" s="11">
        <v>780</v>
      </c>
      <c r="G53" s="11">
        <v>5.93</v>
      </c>
      <c r="H53" s="11">
        <v>0</v>
      </c>
      <c r="I53" s="11">
        <v>0</v>
      </c>
      <c r="J53" s="11">
        <f t="shared" si="3"/>
        <v>780</v>
      </c>
      <c r="K53" s="11">
        <f t="shared" si="4"/>
        <v>774.07</v>
      </c>
      <c r="L53" s="21">
        <v>44616</v>
      </c>
      <c r="M53" s="66">
        <v>780</v>
      </c>
      <c r="N53" s="131"/>
    </row>
    <row r="54" spans="1:14" ht="15.75" thickBot="1" x14ac:dyDescent="0.3">
      <c r="A54" s="64">
        <v>44621</v>
      </c>
      <c r="B54" s="21" t="s">
        <v>264</v>
      </c>
      <c r="C54" s="11" t="s">
        <v>265</v>
      </c>
      <c r="D54" s="11">
        <v>80</v>
      </c>
      <c r="E54" s="11">
        <v>9.75</v>
      </c>
      <c r="F54" s="11">
        <v>780</v>
      </c>
      <c r="G54" s="11">
        <v>5.93</v>
      </c>
      <c r="H54" s="11">
        <v>0</v>
      </c>
      <c r="I54" s="11">
        <v>0</v>
      </c>
      <c r="J54" s="11">
        <f t="shared" si="3"/>
        <v>780</v>
      </c>
      <c r="K54" s="11">
        <f t="shared" si="4"/>
        <v>774.07</v>
      </c>
      <c r="L54" s="21">
        <v>44616</v>
      </c>
      <c r="M54" s="66">
        <v>780</v>
      </c>
      <c r="N54" s="132"/>
    </row>
    <row r="55" spans="1:14" ht="15.75" thickBot="1" x14ac:dyDescent="0.3">
      <c r="A55" s="64">
        <v>44652</v>
      </c>
      <c r="B55" s="21" t="s">
        <v>257</v>
      </c>
      <c r="C55" s="11" t="s">
        <v>258</v>
      </c>
      <c r="D55" s="11">
        <v>173.33</v>
      </c>
      <c r="E55" s="11">
        <v>11</v>
      </c>
      <c r="F55" s="11">
        <f>E55*D55</f>
        <v>1906.63</v>
      </c>
      <c r="G55" s="11">
        <v>161.41</v>
      </c>
      <c r="H55" s="22">
        <v>133.15</v>
      </c>
      <c r="I55" s="11">
        <v>0</v>
      </c>
      <c r="J55" s="11">
        <f t="shared" si="3"/>
        <v>1773.48</v>
      </c>
      <c r="K55" s="11">
        <f t="shared" si="4"/>
        <v>1612.07</v>
      </c>
      <c r="L55" s="21">
        <v>44661</v>
      </c>
      <c r="M55" s="11">
        <v>1773.8</v>
      </c>
    </row>
    <row r="56" spans="1:14" ht="14.45" customHeight="1" x14ac:dyDescent="0.25">
      <c r="A56" s="64">
        <v>44652</v>
      </c>
      <c r="B56" s="21" t="s">
        <v>253</v>
      </c>
      <c r="C56" s="11" t="s">
        <v>254</v>
      </c>
      <c r="D56" s="11">
        <v>80</v>
      </c>
      <c r="E56" s="11">
        <v>8.91</v>
      </c>
      <c r="F56" s="11">
        <f>E56*D56</f>
        <v>712.8</v>
      </c>
      <c r="G56" s="11">
        <v>0</v>
      </c>
      <c r="H56" s="11">
        <v>0</v>
      </c>
      <c r="I56" s="11">
        <v>0</v>
      </c>
      <c r="J56" s="11">
        <f t="shared" si="3"/>
        <v>712.8</v>
      </c>
      <c r="K56" s="11">
        <f t="shared" si="4"/>
        <v>712.8</v>
      </c>
      <c r="L56" s="21">
        <v>44661</v>
      </c>
      <c r="M56" s="66">
        <v>712.8</v>
      </c>
      <c r="N56" s="133" t="s">
        <v>263</v>
      </c>
    </row>
    <row r="57" spans="1:14" x14ac:dyDescent="0.25">
      <c r="A57" s="64">
        <v>44652</v>
      </c>
      <c r="B57" s="21" t="s">
        <v>255</v>
      </c>
      <c r="C57" s="11" t="s">
        <v>256</v>
      </c>
      <c r="D57" s="11">
        <v>80</v>
      </c>
      <c r="E57" s="11">
        <v>8.91</v>
      </c>
      <c r="F57" s="11">
        <f>E57*D57</f>
        <v>712.8</v>
      </c>
      <c r="G57" s="11">
        <v>0</v>
      </c>
      <c r="H57" s="11">
        <v>0</v>
      </c>
      <c r="I57" s="11">
        <v>0</v>
      </c>
      <c r="J57" s="11">
        <f t="shared" si="3"/>
        <v>712.8</v>
      </c>
      <c r="K57" s="11">
        <f t="shared" si="4"/>
        <v>712.8</v>
      </c>
      <c r="L57" s="21">
        <v>44661</v>
      </c>
      <c r="M57" s="66">
        <v>712.8</v>
      </c>
      <c r="N57" s="134"/>
    </row>
    <row r="58" spans="1:14" x14ac:dyDescent="0.25">
      <c r="A58" s="64">
        <v>44652</v>
      </c>
      <c r="B58" s="21" t="s">
        <v>264</v>
      </c>
      <c r="C58" s="11" t="s">
        <v>265</v>
      </c>
      <c r="D58" s="11">
        <v>80</v>
      </c>
      <c r="E58" s="11">
        <v>9.75</v>
      </c>
      <c r="F58" s="11">
        <v>780</v>
      </c>
      <c r="G58" s="11">
        <v>5.93</v>
      </c>
      <c r="H58" s="11">
        <v>0</v>
      </c>
      <c r="I58" s="11">
        <v>0</v>
      </c>
      <c r="J58" s="11">
        <f t="shared" si="3"/>
        <v>780</v>
      </c>
      <c r="K58" s="11">
        <v>780</v>
      </c>
      <c r="L58" s="21">
        <v>44661</v>
      </c>
      <c r="M58" s="66">
        <v>780</v>
      </c>
      <c r="N58" s="134"/>
    </row>
    <row r="59" spans="1:14" x14ac:dyDescent="0.25">
      <c r="A59" s="64">
        <v>44682</v>
      </c>
      <c r="B59" s="21" t="s">
        <v>257</v>
      </c>
      <c r="C59" s="11" t="s">
        <v>258</v>
      </c>
      <c r="D59" s="11">
        <v>173.33</v>
      </c>
      <c r="E59" s="11">
        <v>11</v>
      </c>
      <c r="F59" s="11">
        <v>2179.63</v>
      </c>
      <c r="G59" s="11">
        <v>213.95</v>
      </c>
      <c r="H59" s="22">
        <v>179.75</v>
      </c>
      <c r="I59" s="11">
        <v>0</v>
      </c>
      <c r="J59" s="11">
        <f t="shared" si="3"/>
        <v>1999.88</v>
      </c>
      <c r="K59" s="11">
        <f>J59-G59</f>
        <v>1785.93</v>
      </c>
      <c r="L59" s="21">
        <v>44691</v>
      </c>
      <c r="M59" s="11">
        <v>1773.8</v>
      </c>
      <c r="N59" s="134"/>
    </row>
    <row r="60" spans="1:14" x14ac:dyDescent="0.25">
      <c r="A60" s="64">
        <v>44682</v>
      </c>
      <c r="B60" s="21" t="s">
        <v>253</v>
      </c>
      <c r="C60" s="11" t="s">
        <v>254</v>
      </c>
      <c r="D60" s="11">
        <v>80</v>
      </c>
      <c r="E60" s="11">
        <v>9.5</v>
      </c>
      <c r="F60" s="11">
        <f>E60*D60</f>
        <v>760</v>
      </c>
      <c r="G60" s="11">
        <v>0.3</v>
      </c>
      <c r="H60" s="11">
        <v>0</v>
      </c>
      <c r="I60" s="11">
        <v>0</v>
      </c>
      <c r="J60" s="11">
        <f t="shared" si="3"/>
        <v>760</v>
      </c>
      <c r="K60" s="11">
        <v>760</v>
      </c>
      <c r="L60" s="21">
        <v>44691</v>
      </c>
      <c r="M60" s="66">
        <v>712.8</v>
      </c>
      <c r="N60" s="134"/>
    </row>
    <row r="61" spans="1:14" x14ac:dyDescent="0.25">
      <c r="A61" s="64">
        <v>44682</v>
      </c>
      <c r="B61" s="21" t="s">
        <v>255</v>
      </c>
      <c r="C61" s="11" t="s">
        <v>256</v>
      </c>
      <c r="D61" s="11">
        <v>80</v>
      </c>
      <c r="E61" s="11">
        <v>9.5</v>
      </c>
      <c r="F61" s="11">
        <f>E61*D61</f>
        <v>760</v>
      </c>
      <c r="G61" s="11">
        <v>0.3</v>
      </c>
      <c r="H61" s="11">
        <v>0</v>
      </c>
      <c r="I61" s="11">
        <v>0</v>
      </c>
      <c r="J61" s="11">
        <f t="shared" si="3"/>
        <v>760</v>
      </c>
      <c r="K61" s="11">
        <v>760</v>
      </c>
      <c r="L61" s="21">
        <v>44691</v>
      </c>
      <c r="M61" s="66">
        <v>712.8</v>
      </c>
      <c r="N61" s="134"/>
    </row>
    <row r="62" spans="1:14" ht="15.75" thickBot="1" x14ac:dyDescent="0.3">
      <c r="A62" s="64">
        <v>44682</v>
      </c>
      <c r="B62" s="21" t="s">
        <v>264</v>
      </c>
      <c r="C62" s="11" t="s">
        <v>265</v>
      </c>
      <c r="D62" s="11">
        <v>80</v>
      </c>
      <c r="E62" s="11">
        <v>9.75</v>
      </c>
      <c r="F62" s="11">
        <v>780</v>
      </c>
      <c r="G62" s="11">
        <v>3.31</v>
      </c>
      <c r="H62" s="11">
        <v>0</v>
      </c>
      <c r="I62" s="11">
        <v>0</v>
      </c>
      <c r="J62" s="11">
        <f t="shared" si="3"/>
        <v>780</v>
      </c>
      <c r="K62" s="11">
        <v>780</v>
      </c>
      <c r="L62" s="21">
        <v>44691</v>
      </c>
      <c r="M62" s="66">
        <v>780</v>
      </c>
      <c r="N62" s="135"/>
    </row>
    <row r="63" spans="1:14" x14ac:dyDescent="0.25">
      <c r="A63" s="64">
        <v>44713</v>
      </c>
      <c r="B63" s="21" t="s">
        <v>257</v>
      </c>
      <c r="C63" s="11" t="s">
        <v>258</v>
      </c>
      <c r="D63" s="11">
        <v>173.33</v>
      </c>
      <c r="E63" s="11">
        <v>11</v>
      </c>
      <c r="F63" s="11">
        <v>2179.4</v>
      </c>
      <c r="G63" s="11">
        <v>213.92</v>
      </c>
      <c r="H63" s="22">
        <v>179.72</v>
      </c>
      <c r="I63" s="11">
        <v>226.2</v>
      </c>
      <c r="J63" s="11">
        <f t="shared" si="3"/>
        <v>1773.48</v>
      </c>
      <c r="K63" s="11">
        <f>J63-G63</f>
        <v>1559.56</v>
      </c>
      <c r="L63" s="21">
        <v>44722</v>
      </c>
      <c r="M63" s="11">
        <v>1773.48</v>
      </c>
      <c r="N63" s="85"/>
    </row>
    <row r="64" spans="1:14" x14ac:dyDescent="0.25">
      <c r="A64" s="64">
        <v>44713</v>
      </c>
      <c r="B64" s="21" t="s">
        <v>253</v>
      </c>
      <c r="C64" s="11" t="s">
        <v>254</v>
      </c>
      <c r="D64" s="11">
        <v>80</v>
      </c>
      <c r="E64" s="11">
        <v>9.5</v>
      </c>
      <c r="F64" s="11">
        <f>E64*D64</f>
        <v>760</v>
      </c>
      <c r="G64" s="11">
        <v>0.3</v>
      </c>
      <c r="H64" s="11">
        <v>0</v>
      </c>
      <c r="I64" s="11">
        <v>0</v>
      </c>
      <c r="J64" s="11">
        <f t="shared" si="3"/>
        <v>760</v>
      </c>
      <c r="K64" s="11">
        <v>760</v>
      </c>
      <c r="L64" s="21">
        <v>44722</v>
      </c>
      <c r="M64" s="66">
        <v>760</v>
      </c>
      <c r="N64" s="85"/>
    </row>
    <row r="65" spans="1:14" x14ac:dyDescent="0.25">
      <c r="A65" s="64">
        <v>44713</v>
      </c>
      <c r="B65" s="21" t="s">
        <v>255</v>
      </c>
      <c r="C65" s="11" t="s">
        <v>256</v>
      </c>
      <c r="D65" s="11">
        <v>80</v>
      </c>
      <c r="E65" s="11">
        <v>9.5</v>
      </c>
      <c r="F65" s="11">
        <f>E65*D65</f>
        <v>760</v>
      </c>
      <c r="G65" s="11">
        <v>0.3</v>
      </c>
      <c r="H65" s="11">
        <v>0</v>
      </c>
      <c r="I65" s="11">
        <v>0</v>
      </c>
      <c r="J65" s="11">
        <f t="shared" si="3"/>
        <v>760</v>
      </c>
      <c r="K65" s="11">
        <v>760</v>
      </c>
      <c r="L65" s="21">
        <v>44722</v>
      </c>
      <c r="M65" s="66">
        <v>760</v>
      </c>
      <c r="N65" s="85"/>
    </row>
    <row r="66" spans="1:14" x14ac:dyDescent="0.25">
      <c r="A66" s="64">
        <v>44713</v>
      </c>
      <c r="B66" s="21" t="s">
        <v>266</v>
      </c>
      <c r="C66" s="11" t="s">
        <v>267</v>
      </c>
      <c r="D66" s="11">
        <v>80</v>
      </c>
      <c r="E66" s="11">
        <v>9.75</v>
      </c>
      <c r="F66" s="11">
        <v>780</v>
      </c>
      <c r="G66" s="11">
        <v>3.31</v>
      </c>
      <c r="H66" s="11">
        <v>0</v>
      </c>
      <c r="I66" s="11">
        <v>0</v>
      </c>
      <c r="J66" s="11">
        <v>780</v>
      </c>
      <c r="K66" s="11">
        <v>780</v>
      </c>
      <c r="L66" s="21">
        <v>44722</v>
      </c>
      <c r="M66" s="11">
        <v>780</v>
      </c>
      <c r="N66" s="85"/>
    </row>
    <row r="67" spans="1:14" x14ac:dyDescent="0.25">
      <c r="A67" s="64">
        <v>44743</v>
      </c>
      <c r="B67" s="21" t="s">
        <v>257</v>
      </c>
      <c r="C67" s="11" t="s">
        <v>258</v>
      </c>
      <c r="D67" s="11">
        <v>173.33</v>
      </c>
      <c r="E67" s="11">
        <v>11</v>
      </c>
      <c r="F67" s="11">
        <v>2179.4</v>
      </c>
      <c r="G67" s="11">
        <v>213.92</v>
      </c>
      <c r="H67" s="22">
        <v>149.91</v>
      </c>
      <c r="I67" s="11">
        <v>226.2</v>
      </c>
      <c r="J67" s="11">
        <f>F67-H67-I67</f>
        <v>1803.29</v>
      </c>
      <c r="K67" s="11">
        <f>J67-G67</f>
        <v>1589.37</v>
      </c>
      <c r="L67" s="21">
        <v>44752</v>
      </c>
      <c r="M67" s="11">
        <v>1803.29</v>
      </c>
      <c r="N67" s="85"/>
    </row>
    <row r="68" spans="1:14" x14ac:dyDescent="0.25">
      <c r="A68" s="64">
        <v>44743</v>
      </c>
      <c r="B68" s="21" t="s">
        <v>253</v>
      </c>
      <c r="C68" s="11" t="s">
        <v>254</v>
      </c>
      <c r="D68" s="11">
        <v>80</v>
      </c>
      <c r="E68" s="11">
        <v>9.5</v>
      </c>
      <c r="F68" s="11">
        <f>E68*D68</f>
        <v>760</v>
      </c>
      <c r="G68" s="11">
        <v>0.3</v>
      </c>
      <c r="H68" s="11">
        <v>0</v>
      </c>
      <c r="I68" s="11">
        <v>0</v>
      </c>
      <c r="J68" s="11">
        <f>F68-H68-I68</f>
        <v>760</v>
      </c>
      <c r="K68" s="11">
        <v>760</v>
      </c>
      <c r="L68" s="21">
        <v>44752</v>
      </c>
      <c r="M68" s="11">
        <v>760</v>
      </c>
      <c r="N68" s="85"/>
    </row>
    <row r="69" spans="1:14" x14ac:dyDescent="0.25">
      <c r="A69" s="64">
        <v>44743</v>
      </c>
      <c r="B69" s="21" t="s">
        <v>266</v>
      </c>
      <c r="C69" s="11" t="s">
        <v>267</v>
      </c>
      <c r="D69" s="11">
        <v>80</v>
      </c>
      <c r="E69" s="11">
        <v>9.75</v>
      </c>
      <c r="F69" s="11">
        <v>780</v>
      </c>
      <c r="G69" s="11">
        <v>6.62</v>
      </c>
      <c r="H69" s="11">
        <v>0</v>
      </c>
      <c r="I69" s="11">
        <v>0</v>
      </c>
      <c r="J69" s="11">
        <v>780</v>
      </c>
      <c r="K69" s="11">
        <v>780</v>
      </c>
      <c r="L69" s="21">
        <v>44752</v>
      </c>
      <c r="M69" s="11">
        <v>780</v>
      </c>
      <c r="N69" s="85"/>
    </row>
    <row r="70" spans="1:14" x14ac:dyDescent="0.25">
      <c r="A70" s="64"/>
      <c r="B70" s="21"/>
      <c r="C70" s="11"/>
      <c r="D70" s="11"/>
      <c r="E70" s="11"/>
      <c r="F70" s="11"/>
      <c r="G70" s="11"/>
      <c r="H70" s="11"/>
      <c r="I70" s="11"/>
      <c r="J70" s="11"/>
      <c r="K70" s="11"/>
      <c r="L70" s="21"/>
      <c r="M70" s="11"/>
      <c r="N70" s="85"/>
    </row>
    <row r="71" spans="1:14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4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4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5" spans="1:14" x14ac:dyDescent="0.25">
      <c r="D75" s="2" t="s">
        <v>268</v>
      </c>
      <c r="E75" s="2" t="s">
        <v>269</v>
      </c>
      <c r="F75" s="2" t="s">
        <v>270</v>
      </c>
      <c r="H75" s="2" t="s">
        <v>271</v>
      </c>
    </row>
    <row r="76" spans="1:14" x14ac:dyDescent="0.25">
      <c r="B76" s="2" t="s">
        <v>272</v>
      </c>
      <c r="C76">
        <f>D13+D43</f>
        <v>23499.68</v>
      </c>
    </row>
    <row r="77" spans="1:14" x14ac:dyDescent="0.25">
      <c r="B77" s="2" t="s">
        <v>273</v>
      </c>
      <c r="C77">
        <f>M19+M22+M25+M28+M31+M50+M55+M59</f>
        <v>14190.399999999998</v>
      </c>
      <c r="D77">
        <f>H59+H55+H50+H31+H28+H25+H22+H19</f>
        <v>1111.8</v>
      </c>
      <c r="E77">
        <f>G59+G55+G50+G31+G28+G25+G22+G19</f>
        <v>1343.82</v>
      </c>
      <c r="F77">
        <f>50*5</f>
        <v>250</v>
      </c>
      <c r="H77">
        <f>C77+C78+C79+D77+E77+F77</f>
        <v>24024.019999999997</v>
      </c>
    </row>
    <row r="78" spans="1:14" x14ac:dyDescent="0.25">
      <c r="B78" s="2" t="s">
        <v>274</v>
      </c>
      <c r="C78">
        <f>K18+K21+K24+K27+K30</f>
        <v>3564</v>
      </c>
      <c r="D78">
        <v>0</v>
      </c>
    </row>
    <row r="79" spans="1:14" x14ac:dyDescent="0.25">
      <c r="B79" s="2" t="s">
        <v>275</v>
      </c>
      <c r="C79">
        <f>J17+J20+J23+J26+J29</f>
        <v>3564</v>
      </c>
      <c r="D79">
        <v>0</v>
      </c>
    </row>
    <row r="85" spans="2:4" x14ac:dyDescent="0.25">
      <c r="B85" t="s">
        <v>276</v>
      </c>
      <c r="C85">
        <v>10000</v>
      </c>
      <c r="D85" t="s">
        <v>277</v>
      </c>
    </row>
    <row r="86" spans="2:4" x14ac:dyDescent="0.25">
      <c r="B86" t="s">
        <v>278</v>
      </c>
      <c r="C86">
        <v>3000</v>
      </c>
      <c r="D86" t="s">
        <v>279</v>
      </c>
    </row>
    <row r="87" spans="2:4" x14ac:dyDescent="0.25">
      <c r="B87" t="s">
        <v>280</v>
      </c>
      <c r="C87">
        <f>C86+C85</f>
        <v>13000</v>
      </c>
    </row>
    <row r="89" spans="2:4" x14ac:dyDescent="0.25">
      <c r="B89" t="s">
        <v>281</v>
      </c>
      <c r="C89">
        <f>C86</f>
        <v>3000</v>
      </c>
    </row>
    <row r="90" spans="2:4" x14ac:dyDescent="0.25">
      <c r="B90" t="s">
        <v>282</v>
      </c>
      <c r="C90">
        <v>1000</v>
      </c>
    </row>
    <row r="91" spans="2:4" x14ac:dyDescent="0.25">
      <c r="B91" t="s">
        <v>283</v>
      </c>
      <c r="C91">
        <v>2000</v>
      </c>
    </row>
    <row r="92" spans="2:4" x14ac:dyDescent="0.25">
      <c r="B92" t="s">
        <v>284</v>
      </c>
      <c r="C92">
        <f>C87-C89-C90-C91</f>
        <v>7000</v>
      </c>
    </row>
  </sheetData>
  <mergeCells count="3">
    <mergeCell ref="A40:O40"/>
    <mergeCell ref="N51:N54"/>
    <mergeCell ref="N56:N6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BF7D-A93A-4272-870E-469248D38BAD}">
  <dimension ref="A1:G10"/>
  <sheetViews>
    <sheetView workbookViewId="0">
      <selection activeCell="H16" sqref="H16"/>
    </sheetView>
  </sheetViews>
  <sheetFormatPr defaultRowHeight="15" x14ac:dyDescent="0.25"/>
  <cols>
    <col min="1" max="1" width="9.140625" style="78"/>
    <col min="2" max="2" width="10.7109375" bestFit="1" customWidth="1"/>
    <col min="3" max="3" width="12.42578125" bestFit="1" customWidth="1"/>
    <col min="4" max="4" width="18.42578125" bestFit="1" customWidth="1"/>
    <col min="5" max="5" width="28.42578125" customWidth="1"/>
    <col min="6" max="6" width="14" bestFit="1" customWidth="1"/>
    <col min="7" max="7" width="14.42578125" bestFit="1" customWidth="1"/>
  </cols>
  <sheetData>
    <row r="1" spans="1:7" x14ac:dyDescent="0.25">
      <c r="A1" s="137" t="s">
        <v>285</v>
      </c>
      <c r="B1" s="137"/>
      <c r="C1" s="137"/>
      <c r="D1" s="137"/>
      <c r="E1" s="137"/>
      <c r="F1" s="137"/>
      <c r="G1" s="137"/>
    </row>
    <row r="2" spans="1:7" x14ac:dyDescent="0.25">
      <c r="A2" s="136" t="s">
        <v>286</v>
      </c>
      <c r="B2" s="136"/>
      <c r="C2" s="136"/>
      <c r="D2" s="136"/>
      <c r="E2" s="136"/>
      <c r="F2" s="136"/>
      <c r="G2" s="136"/>
    </row>
    <row r="3" spans="1:7" s="78" customFormat="1" x14ac:dyDescent="0.25">
      <c r="A3" s="9" t="s">
        <v>287</v>
      </c>
      <c r="B3" s="9" t="s">
        <v>288</v>
      </c>
      <c r="C3" s="9" t="s">
        <v>289</v>
      </c>
      <c r="D3" s="9" t="s">
        <v>290</v>
      </c>
      <c r="E3" s="9" t="s">
        <v>291</v>
      </c>
      <c r="F3" s="9" t="s">
        <v>292</v>
      </c>
      <c r="G3" s="9" t="s">
        <v>293</v>
      </c>
    </row>
    <row r="4" spans="1:7" x14ac:dyDescent="0.25">
      <c r="A4" s="4">
        <v>1</v>
      </c>
      <c r="B4" s="11" t="s">
        <v>294</v>
      </c>
      <c r="C4" s="11" t="s">
        <v>198</v>
      </c>
      <c r="D4" s="11" t="s">
        <v>295</v>
      </c>
      <c r="E4" s="11" t="s">
        <v>296</v>
      </c>
      <c r="F4" s="11">
        <v>350000</v>
      </c>
      <c r="G4" s="11">
        <v>3500</v>
      </c>
    </row>
    <row r="5" spans="1:7" x14ac:dyDescent="0.25">
      <c r="A5" s="4">
        <v>2</v>
      </c>
      <c r="B5" s="21">
        <v>45089</v>
      </c>
      <c r="C5" s="11" t="s">
        <v>297</v>
      </c>
      <c r="D5" s="11" t="s">
        <v>298</v>
      </c>
      <c r="E5" s="11" t="s">
        <v>299</v>
      </c>
      <c r="F5" s="11">
        <v>300000</v>
      </c>
      <c r="G5" s="11">
        <v>2900</v>
      </c>
    </row>
    <row r="6" spans="1:7" x14ac:dyDescent="0.25">
      <c r="A6" s="4">
        <v>3</v>
      </c>
      <c r="B6" s="21">
        <v>45091</v>
      </c>
      <c r="C6" s="11" t="s">
        <v>297</v>
      </c>
      <c r="D6" s="11" t="s">
        <v>300</v>
      </c>
      <c r="E6" s="11" t="s">
        <v>301</v>
      </c>
      <c r="F6" s="11">
        <v>350000</v>
      </c>
      <c r="G6" s="11">
        <v>3400</v>
      </c>
    </row>
    <row r="7" spans="1:7" x14ac:dyDescent="0.25">
      <c r="A7" s="4">
        <v>4</v>
      </c>
      <c r="B7" s="21">
        <v>45093</v>
      </c>
      <c r="C7" s="11" t="s">
        <v>297</v>
      </c>
      <c r="D7" s="11" t="s">
        <v>300</v>
      </c>
      <c r="E7" s="11" t="s">
        <v>301</v>
      </c>
      <c r="F7" s="11">
        <v>300000</v>
      </c>
      <c r="G7" s="11">
        <v>2900</v>
      </c>
    </row>
    <row r="8" spans="1:7" x14ac:dyDescent="0.25">
      <c r="A8" s="4">
        <v>5</v>
      </c>
      <c r="B8" s="21">
        <v>45106</v>
      </c>
      <c r="C8" s="11" t="s">
        <v>297</v>
      </c>
      <c r="D8" s="11" t="s">
        <v>300</v>
      </c>
      <c r="E8" s="11" t="s">
        <v>301</v>
      </c>
      <c r="F8" s="11">
        <v>300000</v>
      </c>
      <c r="G8" s="11">
        <v>2910</v>
      </c>
    </row>
    <row r="9" spans="1:7" x14ac:dyDescent="0.25">
      <c r="A9" s="4">
        <v>6</v>
      </c>
      <c r="B9" s="21">
        <v>45113</v>
      </c>
      <c r="C9" s="11" t="s">
        <v>297</v>
      </c>
      <c r="D9" s="11" t="s">
        <v>300</v>
      </c>
      <c r="E9" s="11" t="s">
        <v>301</v>
      </c>
      <c r="F9" s="11">
        <v>200000</v>
      </c>
      <c r="G9" s="11">
        <v>1926</v>
      </c>
    </row>
    <row r="10" spans="1:7" x14ac:dyDescent="0.25">
      <c r="A10" s="138" t="s">
        <v>302</v>
      </c>
      <c r="B10" s="139"/>
      <c r="C10" s="139"/>
      <c r="D10" s="140"/>
      <c r="E10" s="86"/>
      <c r="F10" s="79">
        <f>SUM(F4:F9)</f>
        <v>1800000</v>
      </c>
      <c r="G10" s="79">
        <f>SUM(G4:G9)</f>
        <v>17536</v>
      </c>
    </row>
  </sheetData>
  <mergeCells count="3">
    <mergeCell ref="A2:G2"/>
    <mergeCell ref="A1:G1"/>
    <mergeCell ref="A10:D1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9E26-1945-4DC0-89C0-AC6C3B75849E}">
  <dimension ref="A2:F29"/>
  <sheetViews>
    <sheetView workbookViewId="0">
      <selection activeCell="B29" sqref="B29:E29"/>
    </sheetView>
  </sheetViews>
  <sheetFormatPr defaultRowHeight="15" x14ac:dyDescent="0.25"/>
  <cols>
    <col min="1" max="1" width="16" style="78" bestFit="1" customWidth="1"/>
    <col min="2" max="2" width="14.7109375" customWidth="1"/>
    <col min="3" max="3" width="32.42578125" customWidth="1"/>
    <col min="4" max="4" width="27.5703125" customWidth="1"/>
    <col min="5" max="5" width="14.85546875" customWidth="1"/>
    <col min="9" max="9" width="10.28515625" customWidth="1"/>
  </cols>
  <sheetData>
    <row r="2" spans="1:6" x14ac:dyDescent="0.25">
      <c r="A2" s="4" t="s">
        <v>287</v>
      </c>
      <c r="B2" s="4" t="s">
        <v>2</v>
      </c>
      <c r="C2" s="4" t="s">
        <v>303</v>
      </c>
      <c r="D2" s="4" t="s">
        <v>304</v>
      </c>
      <c r="E2" s="4" t="s">
        <v>1</v>
      </c>
      <c r="F2" s="11"/>
    </row>
    <row r="3" spans="1:6" x14ac:dyDescent="0.25">
      <c r="A3" s="4">
        <v>1</v>
      </c>
      <c r="B3" s="82" t="s">
        <v>305</v>
      </c>
      <c r="C3" s="22" t="s">
        <v>306</v>
      </c>
      <c r="D3" s="22" t="s">
        <v>307</v>
      </c>
      <c r="E3" s="22">
        <v>100000</v>
      </c>
      <c r="F3" s="22" t="s">
        <v>308</v>
      </c>
    </row>
    <row r="4" spans="1:6" x14ac:dyDescent="0.25">
      <c r="A4" s="4">
        <v>2</v>
      </c>
      <c r="B4" s="82" t="s">
        <v>309</v>
      </c>
      <c r="C4" s="22" t="s">
        <v>310</v>
      </c>
      <c r="D4" s="22" t="s">
        <v>307</v>
      </c>
      <c r="E4" s="22">
        <v>50000</v>
      </c>
      <c r="F4" s="22" t="s">
        <v>308</v>
      </c>
    </row>
    <row r="5" spans="1:6" x14ac:dyDescent="0.25">
      <c r="A5" s="4">
        <v>3</v>
      </c>
      <c r="B5" s="82" t="s">
        <v>309</v>
      </c>
      <c r="C5" s="22" t="s">
        <v>310</v>
      </c>
      <c r="D5" s="22" t="s">
        <v>307</v>
      </c>
      <c r="E5" s="22">
        <v>350000</v>
      </c>
      <c r="F5" s="22" t="s">
        <v>308</v>
      </c>
    </row>
    <row r="6" spans="1:6" x14ac:dyDescent="0.25">
      <c r="A6" s="4">
        <v>4</v>
      </c>
      <c r="B6" s="82" t="s">
        <v>311</v>
      </c>
      <c r="C6" s="22" t="s">
        <v>310</v>
      </c>
      <c r="D6" s="22" t="s">
        <v>307</v>
      </c>
      <c r="E6" s="22">
        <v>500000</v>
      </c>
      <c r="F6" s="22" t="s">
        <v>308</v>
      </c>
    </row>
    <row r="7" spans="1:6" x14ac:dyDescent="0.25">
      <c r="A7" s="4">
        <v>5</v>
      </c>
      <c r="B7" s="82" t="s">
        <v>312</v>
      </c>
      <c r="C7" s="22" t="s">
        <v>313</v>
      </c>
      <c r="D7" s="22" t="s">
        <v>307</v>
      </c>
      <c r="E7" s="22">
        <v>500000</v>
      </c>
      <c r="F7" s="22" t="s">
        <v>308</v>
      </c>
    </row>
    <row r="8" spans="1:6" x14ac:dyDescent="0.25">
      <c r="A8" s="4">
        <v>6</v>
      </c>
      <c r="B8" s="82" t="s">
        <v>312</v>
      </c>
      <c r="C8" s="22" t="s">
        <v>313</v>
      </c>
      <c r="D8" s="22" t="s">
        <v>307</v>
      </c>
      <c r="E8" s="22">
        <v>500000</v>
      </c>
      <c r="F8" s="22" t="s">
        <v>308</v>
      </c>
    </row>
    <row r="9" spans="1:6" x14ac:dyDescent="0.25">
      <c r="A9" s="4">
        <v>7</v>
      </c>
      <c r="B9" s="83">
        <v>45326</v>
      </c>
      <c r="C9" s="22" t="s">
        <v>310</v>
      </c>
      <c r="D9" s="22" t="s">
        <v>307</v>
      </c>
      <c r="E9" s="22">
        <v>500000</v>
      </c>
      <c r="F9" s="22" t="s">
        <v>308</v>
      </c>
    </row>
    <row r="10" spans="1:6" x14ac:dyDescent="0.25">
      <c r="A10" s="4">
        <v>8</v>
      </c>
      <c r="B10" s="83">
        <v>45326</v>
      </c>
      <c r="C10" s="22" t="s">
        <v>310</v>
      </c>
      <c r="D10" s="22" t="s">
        <v>307</v>
      </c>
      <c r="E10" s="22">
        <v>500000</v>
      </c>
      <c r="F10" s="22" t="s">
        <v>308</v>
      </c>
    </row>
    <row r="11" spans="1:6" x14ac:dyDescent="0.25">
      <c r="A11" s="4">
        <v>9</v>
      </c>
      <c r="B11" s="83">
        <v>45416</v>
      </c>
      <c r="C11" s="22" t="s">
        <v>310</v>
      </c>
      <c r="D11" s="22" t="s">
        <v>307</v>
      </c>
      <c r="E11" s="22">
        <v>300000</v>
      </c>
      <c r="F11" s="22" t="s">
        <v>308</v>
      </c>
    </row>
    <row r="12" spans="1:6" x14ac:dyDescent="0.25">
      <c r="A12" s="4">
        <v>10</v>
      </c>
      <c r="B12" s="83">
        <v>45630</v>
      </c>
      <c r="C12" s="22" t="s">
        <v>310</v>
      </c>
      <c r="D12" s="22" t="s">
        <v>314</v>
      </c>
      <c r="E12" s="22">
        <v>400000</v>
      </c>
      <c r="F12" s="22" t="s">
        <v>308</v>
      </c>
    </row>
    <row r="13" spans="1:6" x14ac:dyDescent="0.25">
      <c r="A13" s="4">
        <v>11</v>
      </c>
      <c r="B13" s="83" t="s">
        <v>315</v>
      </c>
      <c r="C13" s="22" t="s">
        <v>316</v>
      </c>
      <c r="D13" s="22" t="s">
        <v>317</v>
      </c>
      <c r="E13" s="22">
        <v>400000</v>
      </c>
      <c r="F13" s="22" t="s">
        <v>318</v>
      </c>
    </row>
    <row r="14" spans="1:6" x14ac:dyDescent="0.25">
      <c r="A14" s="4">
        <v>12</v>
      </c>
      <c r="B14" s="83" t="s">
        <v>319</v>
      </c>
      <c r="C14" s="22" t="s">
        <v>306</v>
      </c>
      <c r="D14" s="22" t="s">
        <v>320</v>
      </c>
      <c r="E14" s="22">
        <v>100000</v>
      </c>
      <c r="F14" s="22" t="s">
        <v>308</v>
      </c>
    </row>
    <row r="15" spans="1:6" x14ac:dyDescent="0.25">
      <c r="A15" s="4">
        <v>13</v>
      </c>
      <c r="B15" s="83" t="s">
        <v>319</v>
      </c>
      <c r="C15" s="22" t="s">
        <v>306</v>
      </c>
      <c r="D15" s="22" t="s">
        <v>320</v>
      </c>
      <c r="E15" s="22">
        <v>300000</v>
      </c>
      <c r="F15" s="22" t="s">
        <v>308</v>
      </c>
    </row>
    <row r="16" spans="1:6" x14ac:dyDescent="0.25">
      <c r="A16" s="4">
        <v>14</v>
      </c>
      <c r="B16" s="83" t="s">
        <v>321</v>
      </c>
      <c r="C16" s="22" t="s">
        <v>322</v>
      </c>
      <c r="D16" s="22" t="s">
        <v>323</v>
      </c>
      <c r="E16" s="22">
        <v>500000</v>
      </c>
      <c r="F16" s="22" t="s">
        <v>308</v>
      </c>
    </row>
    <row r="17" spans="1:6" x14ac:dyDescent="0.25">
      <c r="A17" s="4">
        <v>15</v>
      </c>
      <c r="B17" s="83" t="s">
        <v>321</v>
      </c>
      <c r="C17" s="22" t="s">
        <v>306</v>
      </c>
      <c r="D17" s="22" t="s">
        <v>320</v>
      </c>
      <c r="E17" s="22">
        <v>100000</v>
      </c>
      <c r="F17" s="22" t="s">
        <v>308</v>
      </c>
    </row>
    <row r="18" spans="1:6" x14ac:dyDescent="0.25">
      <c r="A18" s="4">
        <v>16</v>
      </c>
      <c r="B18" s="83" t="s">
        <v>324</v>
      </c>
      <c r="C18" s="22" t="s">
        <v>322</v>
      </c>
      <c r="D18" s="22" t="s">
        <v>323</v>
      </c>
      <c r="E18" s="22">
        <v>500000</v>
      </c>
      <c r="F18" s="22" t="s">
        <v>308</v>
      </c>
    </row>
    <row r="19" spans="1:6" x14ac:dyDescent="0.25">
      <c r="A19" s="4">
        <v>17</v>
      </c>
      <c r="B19" s="83" t="s">
        <v>324</v>
      </c>
      <c r="C19" s="22" t="s">
        <v>306</v>
      </c>
      <c r="D19" s="22" t="s">
        <v>325</v>
      </c>
      <c r="E19" s="22">
        <v>400000</v>
      </c>
      <c r="F19" s="22" t="s">
        <v>308</v>
      </c>
    </row>
    <row r="20" spans="1:6" x14ac:dyDescent="0.25">
      <c r="A20" s="4">
        <v>18</v>
      </c>
      <c r="B20" s="83" t="s">
        <v>326</v>
      </c>
      <c r="C20" s="22" t="s">
        <v>322</v>
      </c>
      <c r="D20" s="22" t="s">
        <v>317</v>
      </c>
      <c r="E20" s="22">
        <v>600000</v>
      </c>
      <c r="F20" s="22" t="s">
        <v>308</v>
      </c>
    </row>
    <row r="21" spans="1:6" x14ac:dyDescent="0.25">
      <c r="A21" s="4" t="s">
        <v>327</v>
      </c>
      <c r="B21" s="119">
        <f>SUM(E3:E20)</f>
        <v>6600000</v>
      </c>
      <c r="C21" s="119"/>
      <c r="D21" s="119"/>
      <c r="E21" s="119"/>
      <c r="F21" s="11"/>
    </row>
    <row r="22" spans="1:6" x14ac:dyDescent="0.25">
      <c r="A22" s="4" t="s">
        <v>328</v>
      </c>
      <c r="B22" s="144">
        <f>255*25900</f>
        <v>6604500</v>
      </c>
      <c r="C22" s="144"/>
      <c r="D22" s="144"/>
      <c r="E22" s="144"/>
      <c r="F22" s="11"/>
    </row>
    <row r="23" spans="1:6" x14ac:dyDescent="0.25">
      <c r="A23" s="4" t="s">
        <v>329</v>
      </c>
      <c r="B23" s="145">
        <f>B22-B21</f>
        <v>4500</v>
      </c>
      <c r="C23" s="145"/>
      <c r="D23" s="145"/>
      <c r="E23" s="145"/>
      <c r="F23" s="11" t="s">
        <v>330</v>
      </c>
    </row>
    <row r="26" spans="1:6" x14ac:dyDescent="0.25">
      <c r="A26" s="4" t="s">
        <v>331</v>
      </c>
      <c r="B26" s="126">
        <f>255*25900</f>
        <v>6604500</v>
      </c>
      <c r="C26" s="126"/>
      <c r="D26" s="126"/>
      <c r="E26" s="126"/>
    </row>
    <row r="27" spans="1:6" x14ac:dyDescent="0.25">
      <c r="A27" s="4" t="s">
        <v>332</v>
      </c>
      <c r="B27" s="126">
        <v>200000</v>
      </c>
      <c r="C27" s="126"/>
      <c r="D27" s="126"/>
      <c r="E27" s="126"/>
    </row>
    <row r="28" spans="1:6" x14ac:dyDescent="0.25">
      <c r="A28" s="4" t="s">
        <v>333</v>
      </c>
      <c r="B28" s="126">
        <v>60000</v>
      </c>
      <c r="C28" s="126"/>
      <c r="D28" s="126"/>
      <c r="E28" s="126"/>
    </row>
    <row r="29" spans="1:6" x14ac:dyDescent="0.25">
      <c r="A29" s="4" t="s">
        <v>334</v>
      </c>
      <c r="B29" s="141">
        <f>SUM(B26:E28)</f>
        <v>6864500</v>
      </c>
      <c r="C29" s="142"/>
      <c r="D29" s="142"/>
      <c r="E29" s="143"/>
    </row>
  </sheetData>
  <mergeCells count="7">
    <mergeCell ref="B29:E29"/>
    <mergeCell ref="B21:E21"/>
    <mergeCell ref="B22:E22"/>
    <mergeCell ref="B23:E23"/>
    <mergeCell ref="B26:E26"/>
    <mergeCell ref="B28:E28"/>
    <mergeCell ref="B27:E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E863-4E00-4B7C-AA6D-69121404A546}">
  <dimension ref="C3:M53"/>
  <sheetViews>
    <sheetView topLeftCell="A16" workbookViewId="0">
      <selection activeCell="L15" sqref="L15"/>
    </sheetView>
  </sheetViews>
  <sheetFormatPr defaultRowHeight="15" x14ac:dyDescent="0.25"/>
  <cols>
    <col min="4" max="4" width="13.42578125" customWidth="1"/>
    <col min="5" max="5" width="28.7109375" customWidth="1"/>
    <col min="6" max="6" width="35.28515625" customWidth="1"/>
    <col min="7" max="7" width="18.140625" customWidth="1"/>
    <col min="8" max="8" width="16" customWidth="1"/>
  </cols>
  <sheetData>
    <row r="3" spans="3:13" x14ac:dyDescent="0.25">
      <c r="C3" s="4" t="s">
        <v>287</v>
      </c>
      <c r="D3" s="4" t="s">
        <v>2</v>
      </c>
      <c r="E3" s="4" t="s">
        <v>303</v>
      </c>
      <c r="F3" s="4" t="s">
        <v>304</v>
      </c>
      <c r="G3" s="4" t="s">
        <v>1</v>
      </c>
      <c r="H3" s="11"/>
    </row>
    <row r="4" spans="3:13" x14ac:dyDescent="0.25">
      <c r="C4" s="12">
        <v>1</v>
      </c>
      <c r="D4" s="87">
        <v>45551</v>
      </c>
      <c r="E4" s="22" t="s">
        <v>339</v>
      </c>
      <c r="F4" s="22" t="s">
        <v>341</v>
      </c>
      <c r="G4" s="22">
        <v>400000</v>
      </c>
      <c r="H4" s="14" t="s">
        <v>308</v>
      </c>
    </row>
    <row r="5" spans="3:13" x14ac:dyDescent="0.25">
      <c r="C5" s="12">
        <v>2</v>
      </c>
      <c r="D5" s="83">
        <v>45567</v>
      </c>
      <c r="E5" s="22" t="s">
        <v>340</v>
      </c>
      <c r="F5" s="22" t="s">
        <v>341</v>
      </c>
      <c r="G5" s="22">
        <v>100000</v>
      </c>
      <c r="H5" s="14" t="s">
        <v>308</v>
      </c>
    </row>
    <row r="6" spans="3:13" x14ac:dyDescent="0.25">
      <c r="C6" s="12">
        <v>2</v>
      </c>
      <c r="D6" s="83">
        <v>45652</v>
      </c>
      <c r="E6" s="22" t="s">
        <v>367</v>
      </c>
      <c r="F6" s="22" t="s">
        <v>341</v>
      </c>
      <c r="G6" s="22">
        <v>300000</v>
      </c>
      <c r="H6" s="14" t="s">
        <v>308</v>
      </c>
      <c r="I6" s="2">
        <f>SUM(G4:G6)</f>
        <v>800000</v>
      </c>
      <c r="J6" s="2" t="s">
        <v>342</v>
      </c>
    </row>
    <row r="7" spans="3:13" x14ac:dyDescent="0.25">
      <c r="C7" s="12">
        <v>3</v>
      </c>
      <c r="D7" s="83">
        <v>45573</v>
      </c>
      <c r="E7" s="22" t="s">
        <v>340</v>
      </c>
      <c r="F7" s="22" t="s">
        <v>352</v>
      </c>
      <c r="G7" s="22">
        <v>60000</v>
      </c>
      <c r="H7" s="14" t="s">
        <v>308</v>
      </c>
      <c r="I7" s="2"/>
      <c r="J7" s="90"/>
    </row>
    <row r="8" spans="3:13" x14ac:dyDescent="0.25">
      <c r="C8" s="12">
        <v>4</v>
      </c>
      <c r="D8" s="83">
        <v>45605</v>
      </c>
      <c r="E8" s="22" t="s">
        <v>306</v>
      </c>
      <c r="F8" s="22" t="s">
        <v>352</v>
      </c>
      <c r="G8" s="22">
        <v>60000</v>
      </c>
      <c r="H8" s="14" t="s">
        <v>308</v>
      </c>
      <c r="I8" s="2"/>
      <c r="J8" s="90"/>
      <c r="K8" t="s">
        <v>335</v>
      </c>
      <c r="L8" t="s">
        <v>359</v>
      </c>
      <c r="M8" t="s">
        <v>360</v>
      </c>
    </row>
    <row r="9" spans="3:13" x14ac:dyDescent="0.25">
      <c r="C9" s="12">
        <v>5</v>
      </c>
      <c r="D9" s="83">
        <v>45635</v>
      </c>
      <c r="E9" s="22" t="s">
        <v>306</v>
      </c>
      <c r="F9" s="22" t="s">
        <v>352</v>
      </c>
      <c r="G9" s="22">
        <v>60000</v>
      </c>
      <c r="H9" s="14" t="s">
        <v>308</v>
      </c>
      <c r="I9" s="2"/>
      <c r="J9" s="90"/>
      <c r="L9">
        <f>G15</f>
        <v>49000</v>
      </c>
    </row>
    <row r="10" spans="3:13" x14ac:dyDescent="0.25">
      <c r="C10" s="12">
        <v>6</v>
      </c>
      <c r="D10" s="83">
        <v>45645</v>
      </c>
      <c r="E10" s="22" t="s">
        <v>306</v>
      </c>
      <c r="F10" s="22" t="s">
        <v>370</v>
      </c>
      <c r="G10" s="22">
        <v>65000</v>
      </c>
      <c r="H10" s="14" t="s">
        <v>308</v>
      </c>
      <c r="I10" s="2"/>
      <c r="J10" s="90"/>
    </row>
    <row r="11" spans="3:13" x14ac:dyDescent="0.25">
      <c r="C11" s="12"/>
      <c r="D11" s="83">
        <v>45649</v>
      </c>
      <c r="E11" s="22" t="s">
        <v>306</v>
      </c>
      <c r="F11" s="22" t="s">
        <v>352</v>
      </c>
      <c r="G11" s="22">
        <v>100000</v>
      </c>
      <c r="H11" s="14" t="s">
        <v>308</v>
      </c>
      <c r="I11" s="2"/>
      <c r="J11" s="90"/>
    </row>
    <row r="12" spans="3:13" x14ac:dyDescent="0.25">
      <c r="C12" s="12">
        <v>7</v>
      </c>
      <c r="D12" s="83">
        <v>45660</v>
      </c>
      <c r="E12" s="22" t="s">
        <v>306</v>
      </c>
      <c r="F12" s="22" t="s">
        <v>352</v>
      </c>
      <c r="G12" s="22">
        <v>135000</v>
      </c>
      <c r="H12" s="14" t="s">
        <v>308</v>
      </c>
      <c r="I12" s="2"/>
      <c r="J12" s="90"/>
    </row>
    <row r="13" spans="3:13" x14ac:dyDescent="0.25">
      <c r="C13" s="12"/>
      <c r="D13" s="83"/>
      <c r="E13" s="22"/>
      <c r="F13" s="22"/>
      <c r="G13" s="22"/>
      <c r="H13" s="14"/>
      <c r="I13" s="2">
        <f>SUM(G7:G13)</f>
        <v>480000</v>
      </c>
      <c r="J13" s="90" t="s">
        <v>352</v>
      </c>
      <c r="L13">
        <f>G16</f>
        <v>500000</v>
      </c>
    </row>
    <row r="14" spans="3:13" x14ac:dyDescent="0.25">
      <c r="C14" s="148"/>
      <c r="D14" s="149"/>
      <c r="E14" s="149"/>
      <c r="F14" s="149"/>
      <c r="G14" s="149"/>
      <c r="H14" s="150"/>
      <c r="L14">
        <f>G17</f>
        <v>500000</v>
      </c>
    </row>
    <row r="15" spans="3:13" x14ac:dyDescent="0.25">
      <c r="C15" s="12">
        <v>1</v>
      </c>
      <c r="D15" s="87">
        <v>45551</v>
      </c>
      <c r="E15" s="22" t="s">
        <v>337</v>
      </c>
      <c r="F15" s="22" t="s">
        <v>336</v>
      </c>
      <c r="G15" s="22">
        <v>49000</v>
      </c>
      <c r="H15" s="14" t="s">
        <v>308</v>
      </c>
      <c r="M15">
        <f>G18</f>
        <v>101000</v>
      </c>
    </row>
    <row r="16" spans="3:13" x14ac:dyDescent="0.25">
      <c r="C16" s="12">
        <v>2</v>
      </c>
      <c r="D16" s="87">
        <v>45552</v>
      </c>
      <c r="E16" s="22" t="s">
        <v>337</v>
      </c>
      <c r="F16" s="22" t="s">
        <v>336</v>
      </c>
      <c r="G16" s="22">
        <v>500000</v>
      </c>
      <c r="H16" s="14" t="s">
        <v>308</v>
      </c>
      <c r="M16">
        <f t="shared" ref="M16:M19" si="0">G19</f>
        <v>350000</v>
      </c>
    </row>
    <row r="17" spans="3:13" x14ac:dyDescent="0.25">
      <c r="C17" s="12">
        <v>3</v>
      </c>
      <c r="D17" s="87">
        <v>45552</v>
      </c>
      <c r="E17" s="22" t="s">
        <v>338</v>
      </c>
      <c r="F17" s="22" t="s">
        <v>336</v>
      </c>
      <c r="G17" s="22">
        <v>500000</v>
      </c>
      <c r="H17" s="14" t="s">
        <v>308</v>
      </c>
      <c r="M17">
        <f t="shared" si="0"/>
        <v>500000</v>
      </c>
    </row>
    <row r="18" spans="3:13" x14ac:dyDescent="0.25">
      <c r="C18" s="12">
        <v>4</v>
      </c>
      <c r="D18" s="87">
        <v>45551</v>
      </c>
      <c r="E18" s="22" t="s">
        <v>306</v>
      </c>
      <c r="F18" s="22" t="s">
        <v>336</v>
      </c>
      <c r="G18" s="22">
        <v>101000</v>
      </c>
      <c r="H18" s="14" t="s">
        <v>308</v>
      </c>
      <c r="M18">
        <f t="shared" si="0"/>
        <v>500000</v>
      </c>
    </row>
    <row r="19" spans="3:13" x14ac:dyDescent="0.25">
      <c r="C19" s="12">
        <v>5</v>
      </c>
      <c r="D19" s="87">
        <v>45551</v>
      </c>
      <c r="E19" s="22" t="s">
        <v>306</v>
      </c>
      <c r="F19" s="22" t="s">
        <v>336</v>
      </c>
      <c r="G19" s="22">
        <v>350000</v>
      </c>
      <c r="H19" s="14" t="s">
        <v>308</v>
      </c>
      <c r="I19" s="2"/>
      <c r="J19" s="2"/>
      <c r="M19">
        <f t="shared" si="0"/>
        <v>500000</v>
      </c>
    </row>
    <row r="20" spans="3:13" x14ac:dyDescent="0.25">
      <c r="C20" s="12">
        <v>6</v>
      </c>
      <c r="D20" s="87">
        <v>45552</v>
      </c>
      <c r="E20" s="22" t="s">
        <v>306</v>
      </c>
      <c r="F20" s="22" t="s">
        <v>336</v>
      </c>
      <c r="G20" s="22">
        <v>500000</v>
      </c>
      <c r="H20" s="14" t="s">
        <v>308</v>
      </c>
      <c r="I20" s="2"/>
      <c r="J20" s="2"/>
      <c r="L20">
        <f>G23</f>
        <v>500000</v>
      </c>
    </row>
    <row r="21" spans="3:13" x14ac:dyDescent="0.25">
      <c r="C21" s="12">
        <v>7</v>
      </c>
      <c r="D21" s="87">
        <v>45565</v>
      </c>
      <c r="E21" s="22" t="s">
        <v>306</v>
      </c>
      <c r="F21" s="22" t="s">
        <v>336</v>
      </c>
      <c r="G21" s="22">
        <v>500000</v>
      </c>
      <c r="H21" s="14" t="s">
        <v>308</v>
      </c>
      <c r="L21">
        <f>G24</f>
        <v>500000</v>
      </c>
    </row>
    <row r="22" spans="3:13" x14ac:dyDescent="0.25">
      <c r="C22" s="12">
        <v>8</v>
      </c>
      <c r="D22" s="83">
        <v>45567</v>
      </c>
      <c r="E22" s="22" t="s">
        <v>306</v>
      </c>
      <c r="F22" s="22" t="s">
        <v>336</v>
      </c>
      <c r="G22" s="22">
        <v>500000</v>
      </c>
      <c r="H22" s="14" t="s">
        <v>308</v>
      </c>
      <c r="M22">
        <f>G25</f>
        <v>500000</v>
      </c>
    </row>
    <row r="23" spans="3:13" x14ac:dyDescent="0.25">
      <c r="C23" s="12">
        <v>9</v>
      </c>
      <c r="D23" s="83">
        <v>45568</v>
      </c>
      <c r="E23" s="22" t="s">
        <v>337</v>
      </c>
      <c r="F23" s="22" t="s">
        <v>336</v>
      </c>
      <c r="G23" s="22">
        <v>500000</v>
      </c>
      <c r="H23" s="14" t="s">
        <v>308</v>
      </c>
      <c r="K23">
        <f>G26</f>
        <v>49000</v>
      </c>
    </row>
    <row r="24" spans="3:13" x14ac:dyDescent="0.25">
      <c r="C24" s="12">
        <v>10</v>
      </c>
      <c r="D24" s="87">
        <v>45575</v>
      </c>
      <c r="E24" s="22" t="s">
        <v>337</v>
      </c>
      <c r="F24" s="22" t="s">
        <v>336</v>
      </c>
      <c r="G24" s="22">
        <v>500000</v>
      </c>
      <c r="H24" s="14" t="s">
        <v>308</v>
      </c>
      <c r="K24">
        <f>G27</f>
        <v>451000</v>
      </c>
    </row>
    <row r="25" spans="3:13" x14ac:dyDescent="0.25">
      <c r="C25" s="12">
        <v>11</v>
      </c>
      <c r="D25" s="87">
        <v>45588</v>
      </c>
      <c r="E25" s="22" t="s">
        <v>306</v>
      </c>
      <c r="F25" s="22" t="s">
        <v>336</v>
      </c>
      <c r="G25" s="22">
        <v>500000</v>
      </c>
      <c r="H25" s="14" t="s">
        <v>308</v>
      </c>
      <c r="K25">
        <f>G28</f>
        <v>500000</v>
      </c>
    </row>
    <row r="26" spans="3:13" x14ac:dyDescent="0.25">
      <c r="C26" s="12">
        <v>12</v>
      </c>
      <c r="D26" s="87">
        <v>45600</v>
      </c>
      <c r="E26" s="22" t="s">
        <v>339</v>
      </c>
      <c r="F26" s="91" t="s">
        <v>353</v>
      </c>
      <c r="G26" s="92">
        <v>49000</v>
      </c>
      <c r="H26" s="14" t="s">
        <v>308</v>
      </c>
      <c r="L26">
        <f>G29</f>
        <v>500000</v>
      </c>
    </row>
    <row r="27" spans="3:13" x14ac:dyDescent="0.25">
      <c r="C27" s="12">
        <v>13</v>
      </c>
      <c r="D27" s="87">
        <v>45601</v>
      </c>
      <c r="E27" s="22" t="s">
        <v>339</v>
      </c>
      <c r="F27" s="91" t="s">
        <v>353</v>
      </c>
      <c r="G27" s="92">
        <v>451000</v>
      </c>
      <c r="H27" s="14" t="s">
        <v>308</v>
      </c>
      <c r="L27">
        <f>G30</f>
        <v>200000</v>
      </c>
    </row>
    <row r="28" spans="3:13" x14ac:dyDescent="0.25">
      <c r="C28" s="12">
        <v>14</v>
      </c>
      <c r="D28" s="87">
        <v>45602</v>
      </c>
      <c r="E28" s="22" t="s">
        <v>339</v>
      </c>
      <c r="F28" s="91" t="s">
        <v>353</v>
      </c>
      <c r="G28" s="22">
        <v>500000</v>
      </c>
      <c r="H28" s="14" t="s">
        <v>308</v>
      </c>
      <c r="M28">
        <f>G31</f>
        <v>300000</v>
      </c>
    </row>
    <row r="29" spans="3:13" x14ac:dyDescent="0.25">
      <c r="C29" s="12">
        <v>15</v>
      </c>
      <c r="D29" s="87">
        <v>45602</v>
      </c>
      <c r="E29" s="22" t="s">
        <v>337</v>
      </c>
      <c r="F29" s="22" t="s">
        <v>336</v>
      </c>
      <c r="G29" s="22">
        <v>500000</v>
      </c>
      <c r="H29" s="14" t="s">
        <v>308</v>
      </c>
      <c r="K29">
        <f>G32</f>
        <v>500000</v>
      </c>
    </row>
    <row r="30" spans="3:13" x14ac:dyDescent="0.25">
      <c r="C30" s="12">
        <v>16</v>
      </c>
      <c r="D30" s="87">
        <v>45602</v>
      </c>
      <c r="E30" s="22" t="s">
        <v>337</v>
      </c>
      <c r="F30" s="22" t="s">
        <v>336</v>
      </c>
      <c r="G30" s="22">
        <v>200000</v>
      </c>
      <c r="H30" s="14" t="s">
        <v>308</v>
      </c>
      <c r="K30">
        <f>G33</f>
        <v>450000</v>
      </c>
    </row>
    <row r="31" spans="3:13" x14ac:dyDescent="0.25">
      <c r="C31" s="12">
        <v>16</v>
      </c>
      <c r="D31" s="87">
        <v>45602</v>
      </c>
      <c r="E31" s="22" t="s">
        <v>306</v>
      </c>
      <c r="F31" s="91" t="s">
        <v>353</v>
      </c>
      <c r="G31" s="22">
        <v>300000</v>
      </c>
      <c r="H31" s="14" t="s">
        <v>308</v>
      </c>
      <c r="L31">
        <f>G34</f>
        <v>550000</v>
      </c>
    </row>
    <row r="32" spans="3:13" x14ac:dyDescent="0.25">
      <c r="C32" s="12">
        <v>17</v>
      </c>
      <c r="D32" s="87">
        <v>45603</v>
      </c>
      <c r="E32" s="22" t="s">
        <v>339</v>
      </c>
      <c r="F32" s="91" t="s">
        <v>353</v>
      </c>
      <c r="G32" s="22">
        <v>500000</v>
      </c>
      <c r="H32" s="14" t="s">
        <v>308</v>
      </c>
      <c r="M32">
        <f>G35</f>
        <v>100000</v>
      </c>
    </row>
    <row r="33" spans="3:13" x14ac:dyDescent="0.25">
      <c r="C33" s="12">
        <v>18</v>
      </c>
      <c r="D33" s="87">
        <v>45603</v>
      </c>
      <c r="E33" s="22" t="s">
        <v>339</v>
      </c>
      <c r="F33" s="91" t="s">
        <v>353</v>
      </c>
      <c r="G33" s="22">
        <v>450000</v>
      </c>
      <c r="H33" s="14" t="s">
        <v>308</v>
      </c>
      <c r="M33">
        <f>G36</f>
        <v>200000</v>
      </c>
    </row>
    <row r="34" spans="3:13" x14ac:dyDescent="0.25">
      <c r="C34" s="12">
        <v>19</v>
      </c>
      <c r="D34" s="87">
        <v>45603</v>
      </c>
      <c r="E34" s="22" t="s">
        <v>337</v>
      </c>
      <c r="F34" s="22" t="s">
        <v>336</v>
      </c>
      <c r="G34" s="22">
        <v>550000</v>
      </c>
      <c r="H34" s="14" t="s">
        <v>308</v>
      </c>
      <c r="M34">
        <f>G37</f>
        <v>200000</v>
      </c>
    </row>
    <row r="35" spans="3:13" x14ac:dyDescent="0.25">
      <c r="C35" s="12">
        <v>20</v>
      </c>
      <c r="D35" s="87">
        <v>45614</v>
      </c>
      <c r="E35" s="22" t="s">
        <v>306</v>
      </c>
      <c r="F35" s="91" t="s">
        <v>354</v>
      </c>
      <c r="G35" s="22">
        <v>100000</v>
      </c>
      <c r="H35" s="14" t="s">
        <v>308</v>
      </c>
      <c r="M35">
        <f>G38</f>
        <v>500000</v>
      </c>
    </row>
    <row r="36" spans="3:13" x14ac:dyDescent="0.25">
      <c r="C36" s="12">
        <v>21</v>
      </c>
      <c r="D36" s="87">
        <v>45614</v>
      </c>
      <c r="E36" s="22" t="s">
        <v>306</v>
      </c>
      <c r="F36" s="91" t="s">
        <v>354</v>
      </c>
      <c r="G36" s="22">
        <v>200000</v>
      </c>
      <c r="H36" s="14" t="s">
        <v>308</v>
      </c>
      <c r="M36">
        <f>G39</f>
        <v>500000</v>
      </c>
    </row>
    <row r="37" spans="3:13" x14ac:dyDescent="0.25">
      <c r="C37" s="12">
        <v>22</v>
      </c>
      <c r="D37" s="87">
        <v>45615</v>
      </c>
      <c r="E37" s="22" t="s">
        <v>306</v>
      </c>
      <c r="F37" s="91" t="s">
        <v>354</v>
      </c>
      <c r="G37" s="22">
        <v>200000</v>
      </c>
      <c r="H37" s="14" t="s">
        <v>308</v>
      </c>
      <c r="L37">
        <f>G40</f>
        <v>281200</v>
      </c>
    </row>
    <row r="38" spans="3:13" x14ac:dyDescent="0.25">
      <c r="C38" s="12">
        <v>23</v>
      </c>
      <c r="D38" s="87">
        <v>45620</v>
      </c>
      <c r="E38" s="22" t="s">
        <v>306</v>
      </c>
      <c r="F38" s="91" t="s">
        <v>353</v>
      </c>
      <c r="G38" s="22">
        <v>500000</v>
      </c>
      <c r="H38" s="14" t="s">
        <v>308</v>
      </c>
      <c r="I38" s="2">
        <f>SUM(G15:G41)</f>
        <v>9893200</v>
      </c>
      <c r="J38" s="2" t="s">
        <v>343</v>
      </c>
      <c r="K38" s="2">
        <f>SUM(K9:K37)</f>
        <v>1950000</v>
      </c>
      <c r="L38" s="2">
        <f>SUM(L9:L37)+G41</f>
        <v>3692200</v>
      </c>
      <c r="M38" s="2">
        <f>SUM(M9:M37)</f>
        <v>4251000</v>
      </c>
    </row>
    <row r="39" spans="3:13" x14ac:dyDescent="0.25">
      <c r="C39" s="12">
        <v>24</v>
      </c>
      <c r="D39" s="87">
        <v>45620</v>
      </c>
      <c r="E39" s="22" t="s">
        <v>306</v>
      </c>
      <c r="F39" s="91" t="s">
        <v>353</v>
      </c>
      <c r="G39" s="22">
        <v>500000</v>
      </c>
      <c r="H39" s="14" t="s">
        <v>308</v>
      </c>
      <c r="J39" s="11" t="s">
        <v>355</v>
      </c>
      <c r="K39" s="11" t="s">
        <v>356</v>
      </c>
    </row>
    <row r="40" spans="3:13" x14ac:dyDescent="0.25">
      <c r="C40" s="12">
        <v>25</v>
      </c>
      <c r="D40" s="87">
        <v>45621</v>
      </c>
      <c r="E40" s="22" t="s">
        <v>337</v>
      </c>
      <c r="F40" s="22" t="s">
        <v>336</v>
      </c>
      <c r="G40" s="22">
        <v>281200</v>
      </c>
      <c r="H40" s="14" t="s">
        <v>308</v>
      </c>
      <c r="J40">
        <f>G45</f>
        <v>406</v>
      </c>
      <c r="K40">
        <f>G45</f>
        <v>406</v>
      </c>
    </row>
    <row r="41" spans="3:13" x14ac:dyDescent="0.25">
      <c r="C41" s="12">
        <v>25</v>
      </c>
      <c r="D41" s="87">
        <v>45621</v>
      </c>
      <c r="E41" s="22" t="s">
        <v>337</v>
      </c>
      <c r="F41" s="22" t="s">
        <v>336</v>
      </c>
      <c r="G41" s="22">
        <v>112000</v>
      </c>
      <c r="H41" s="14" t="s">
        <v>308</v>
      </c>
      <c r="J41">
        <f>33000*J40</f>
        <v>13398000</v>
      </c>
      <c r="K41">
        <f>2000*K40</f>
        <v>812000</v>
      </c>
    </row>
    <row r="42" spans="3:13" x14ac:dyDescent="0.25">
      <c r="C42" s="12">
        <v>26</v>
      </c>
      <c r="D42" s="87">
        <v>45621</v>
      </c>
      <c r="E42" s="151" t="s">
        <v>317</v>
      </c>
      <c r="F42" s="152"/>
      <c r="G42" s="22">
        <v>3300000</v>
      </c>
      <c r="H42" s="22" t="s">
        <v>365</v>
      </c>
      <c r="J42">
        <f>I38</f>
        <v>9893200</v>
      </c>
      <c r="K42">
        <f>I6</f>
        <v>800000</v>
      </c>
      <c r="L42" t="s">
        <v>357</v>
      </c>
    </row>
    <row r="43" spans="3:13" x14ac:dyDescent="0.25">
      <c r="G43" s="94"/>
      <c r="H43" s="94"/>
      <c r="J43" s="2">
        <f>J41-J42</f>
        <v>3504800</v>
      </c>
      <c r="K43" s="2">
        <f>K41-K42</f>
        <v>12000</v>
      </c>
      <c r="L43" s="2" t="s">
        <v>358</v>
      </c>
    </row>
    <row r="44" spans="3:13" x14ac:dyDescent="0.25">
      <c r="G44" s="94"/>
      <c r="H44" s="94"/>
    </row>
    <row r="45" spans="3:13" x14ac:dyDescent="0.25">
      <c r="C45" s="153" t="s">
        <v>345</v>
      </c>
      <c r="D45" s="154"/>
      <c r="E45" s="154"/>
      <c r="F45" s="155"/>
      <c r="G45" s="22">
        <v>406</v>
      </c>
      <c r="H45" s="22" t="s">
        <v>344</v>
      </c>
    </row>
    <row r="46" spans="3:13" x14ac:dyDescent="0.25">
      <c r="C46" s="153" t="s">
        <v>346</v>
      </c>
      <c r="D46" s="154"/>
      <c r="E46" s="154"/>
      <c r="F46" s="155"/>
      <c r="G46" s="22">
        <v>35000</v>
      </c>
      <c r="H46" s="22" t="s">
        <v>347</v>
      </c>
    </row>
    <row r="47" spans="3:13" x14ac:dyDescent="0.25">
      <c r="C47" s="146" t="s">
        <v>348</v>
      </c>
      <c r="D47" s="146"/>
      <c r="E47" s="146"/>
      <c r="F47" s="146"/>
      <c r="G47" s="88">
        <f>G46*G45</f>
        <v>14210000</v>
      </c>
      <c r="H47" s="89" t="s">
        <v>351</v>
      </c>
    </row>
    <row r="48" spans="3:13" x14ac:dyDescent="0.25">
      <c r="C48" s="146" t="s">
        <v>349</v>
      </c>
      <c r="D48" s="146"/>
      <c r="E48" s="146"/>
      <c r="F48" s="146"/>
      <c r="G48" s="16">
        <f>I38+I6+G42</f>
        <v>13993200</v>
      </c>
      <c r="H48" s="22" t="s">
        <v>351</v>
      </c>
    </row>
    <row r="49" spans="3:8" x14ac:dyDescent="0.25">
      <c r="C49" s="146" t="s">
        <v>366</v>
      </c>
      <c r="D49" s="146"/>
      <c r="E49" s="146"/>
      <c r="F49" s="146"/>
      <c r="G49" s="16">
        <f>900000+100000</f>
        <v>1000000</v>
      </c>
      <c r="H49" s="22" t="s">
        <v>351</v>
      </c>
    </row>
    <row r="50" spans="3:8" x14ac:dyDescent="0.25">
      <c r="C50" s="146" t="s">
        <v>350</v>
      </c>
      <c r="D50" s="146"/>
      <c r="E50" s="146"/>
      <c r="F50" s="146"/>
      <c r="G50" s="50">
        <f>G47-G48</f>
        <v>216800</v>
      </c>
      <c r="H50" s="50" t="s">
        <v>351</v>
      </c>
    </row>
    <row r="51" spans="3:8" x14ac:dyDescent="0.25">
      <c r="C51" s="146" t="s">
        <v>368</v>
      </c>
      <c r="D51" s="146"/>
      <c r="E51" s="146"/>
      <c r="F51" s="146"/>
      <c r="G51" s="13">
        <f>30000+30000+140000</f>
        <v>200000</v>
      </c>
      <c r="H51" s="13" t="s">
        <v>351</v>
      </c>
    </row>
    <row r="53" spans="3:8" x14ac:dyDescent="0.25">
      <c r="C53" s="147" t="s">
        <v>369</v>
      </c>
      <c r="D53" s="147"/>
      <c r="E53" s="147"/>
      <c r="F53" s="147"/>
      <c r="G53" s="84">
        <f>G47+G49+G51</f>
        <v>15410000</v>
      </c>
      <c r="H53" s="84" t="s">
        <v>351</v>
      </c>
    </row>
  </sheetData>
  <mergeCells count="10">
    <mergeCell ref="C51:F51"/>
    <mergeCell ref="C53:F53"/>
    <mergeCell ref="C50:F50"/>
    <mergeCell ref="C14:H14"/>
    <mergeCell ref="C47:F47"/>
    <mergeCell ref="C48:F48"/>
    <mergeCell ref="E42:F42"/>
    <mergeCell ref="C49:F49"/>
    <mergeCell ref="C45:F45"/>
    <mergeCell ref="C46:F4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10B3-DEB8-4B44-BCDF-11FBF818CE32}">
  <dimension ref="B3:H26"/>
  <sheetViews>
    <sheetView workbookViewId="0">
      <selection activeCell="F26" sqref="E5:H26"/>
    </sheetView>
  </sheetViews>
  <sheetFormatPr defaultRowHeight="15" x14ac:dyDescent="0.25"/>
  <cols>
    <col min="2" max="2" width="10.7109375" bestFit="1" customWidth="1"/>
    <col min="3" max="3" width="12.28515625" bestFit="1" customWidth="1"/>
    <col min="5" max="5" width="11.42578125" bestFit="1" customWidth="1"/>
    <col min="6" max="6" width="19.140625" bestFit="1" customWidth="1"/>
    <col min="7" max="7" width="16.140625" customWidth="1"/>
    <col min="8" max="8" width="28.85546875" bestFit="1" customWidth="1"/>
  </cols>
  <sheetData>
    <row r="3" spans="2:8" x14ac:dyDescent="0.25">
      <c r="B3" s="102" t="s">
        <v>386</v>
      </c>
      <c r="C3" s="102"/>
      <c r="F3" s="11" t="s">
        <v>387</v>
      </c>
      <c r="G3" s="11">
        <v>10000</v>
      </c>
    </row>
    <row r="4" spans="2:8" x14ac:dyDescent="0.25">
      <c r="B4" s="11">
        <v>214</v>
      </c>
      <c r="C4" s="11" t="s">
        <v>381</v>
      </c>
      <c r="F4" s="11" t="s">
        <v>381</v>
      </c>
      <c r="G4" s="11">
        <v>214</v>
      </c>
    </row>
    <row r="5" spans="2:8" x14ac:dyDescent="0.25">
      <c r="B5" s="11">
        <v>16250</v>
      </c>
      <c r="C5" s="11" t="s">
        <v>382</v>
      </c>
      <c r="F5" s="11" t="s">
        <v>388</v>
      </c>
      <c r="G5" s="11">
        <f>G4*G3</f>
        <v>2140000</v>
      </c>
    </row>
    <row r="6" spans="2:8" x14ac:dyDescent="0.25">
      <c r="B6" s="11">
        <f>B5*B4</f>
        <v>3477500</v>
      </c>
      <c r="C6" s="11" t="s">
        <v>383</v>
      </c>
      <c r="F6" s="11" t="s">
        <v>389</v>
      </c>
      <c r="G6" s="11">
        <f>B6-G5</f>
        <v>1337500</v>
      </c>
    </row>
    <row r="7" spans="2:8" x14ac:dyDescent="0.25">
      <c r="B7" s="11">
        <v>40000</v>
      </c>
      <c r="C7" s="95" t="s">
        <v>385</v>
      </c>
    </row>
    <row r="8" spans="2:8" x14ac:dyDescent="0.25">
      <c r="B8" s="11">
        <v>161000</v>
      </c>
      <c r="C8" s="11" t="s">
        <v>366</v>
      </c>
    </row>
    <row r="9" spans="2:8" x14ac:dyDescent="0.25">
      <c r="B9" s="11"/>
      <c r="C9" s="11"/>
      <c r="E9" s="4" t="s">
        <v>287</v>
      </c>
      <c r="F9" s="4" t="s">
        <v>390</v>
      </c>
      <c r="G9" s="4" t="s">
        <v>391</v>
      </c>
      <c r="H9" s="4" t="s">
        <v>392</v>
      </c>
    </row>
    <row r="10" spans="2:8" x14ac:dyDescent="0.25">
      <c r="B10" s="11">
        <v>200000</v>
      </c>
      <c r="C10" s="11" t="s">
        <v>384</v>
      </c>
      <c r="E10" s="122" t="s">
        <v>399</v>
      </c>
      <c r="F10" s="122"/>
      <c r="G10" s="122"/>
      <c r="H10" s="122"/>
    </row>
    <row r="11" spans="2:8" x14ac:dyDescent="0.25">
      <c r="B11" s="11">
        <f>SUM(B4:B10)</f>
        <v>3894964</v>
      </c>
      <c r="C11" s="13" t="s">
        <v>217</v>
      </c>
      <c r="E11" s="4">
        <v>1</v>
      </c>
      <c r="F11" s="11">
        <v>50000</v>
      </c>
      <c r="G11" s="21">
        <v>45738</v>
      </c>
      <c r="H11" s="11" t="s">
        <v>395</v>
      </c>
    </row>
    <row r="12" spans="2:8" x14ac:dyDescent="0.25">
      <c r="B12" s="1"/>
      <c r="E12" s="4">
        <v>2</v>
      </c>
      <c r="F12" s="11">
        <v>50000</v>
      </c>
      <c r="G12" s="21">
        <v>45739</v>
      </c>
      <c r="H12" s="11" t="s">
        <v>395</v>
      </c>
    </row>
    <row r="13" spans="2:8" x14ac:dyDescent="0.25">
      <c r="B13" s="1"/>
      <c r="E13" s="4">
        <v>3</v>
      </c>
      <c r="F13" s="11">
        <v>499999</v>
      </c>
      <c r="G13" s="21">
        <v>45749</v>
      </c>
      <c r="H13" s="11" t="s">
        <v>395</v>
      </c>
    </row>
    <row r="14" spans="2:8" x14ac:dyDescent="0.25">
      <c r="B14" s="1"/>
      <c r="E14" s="4">
        <v>4</v>
      </c>
      <c r="F14" s="11">
        <v>500001</v>
      </c>
      <c r="G14" s="21">
        <v>45749</v>
      </c>
      <c r="H14" s="11" t="s">
        <v>395</v>
      </c>
    </row>
    <row r="15" spans="2:8" x14ac:dyDescent="0.25">
      <c r="E15" s="4">
        <v>5</v>
      </c>
      <c r="F15" s="11">
        <v>499999</v>
      </c>
      <c r="G15" s="21">
        <v>45750</v>
      </c>
      <c r="H15" s="11" t="s">
        <v>395</v>
      </c>
    </row>
    <row r="16" spans="2:8" x14ac:dyDescent="0.25">
      <c r="E16" s="4">
        <v>6</v>
      </c>
      <c r="F16" s="11">
        <v>140001</v>
      </c>
      <c r="G16" s="21">
        <v>45750</v>
      </c>
      <c r="H16" s="11" t="s">
        <v>395</v>
      </c>
    </row>
    <row r="17" spans="2:8" x14ac:dyDescent="0.25">
      <c r="E17" s="4">
        <v>7</v>
      </c>
      <c r="F17" s="11">
        <v>400000</v>
      </c>
      <c r="G17" s="21">
        <v>45751</v>
      </c>
      <c r="H17" s="11" t="s">
        <v>395</v>
      </c>
    </row>
    <row r="18" spans="2:8" x14ac:dyDescent="0.25">
      <c r="E18" s="156" t="s">
        <v>400</v>
      </c>
      <c r="F18" s="157"/>
      <c r="G18" s="157"/>
      <c r="H18" s="158"/>
    </row>
    <row r="19" spans="2:8" x14ac:dyDescent="0.25">
      <c r="E19" s="4">
        <v>8</v>
      </c>
      <c r="F19" s="11">
        <v>100000</v>
      </c>
      <c r="G19" s="21">
        <v>45737</v>
      </c>
      <c r="H19" s="11" t="s">
        <v>394</v>
      </c>
    </row>
    <row r="20" spans="2:8" x14ac:dyDescent="0.25">
      <c r="E20" s="4">
        <v>9</v>
      </c>
      <c r="F20" s="11">
        <v>20000</v>
      </c>
      <c r="G20" s="21">
        <v>45734</v>
      </c>
      <c r="H20" s="11" t="s">
        <v>393</v>
      </c>
    </row>
    <row r="21" spans="2:8" x14ac:dyDescent="0.25">
      <c r="B21" s="1"/>
      <c r="E21" s="4">
        <v>10</v>
      </c>
      <c r="F21" s="11"/>
      <c r="G21" s="11"/>
      <c r="H21" s="11"/>
    </row>
    <row r="22" spans="2:8" x14ac:dyDescent="0.25">
      <c r="B22" s="1"/>
      <c r="E22" s="4">
        <v>11</v>
      </c>
      <c r="F22" s="11"/>
      <c r="G22" s="11"/>
      <c r="H22" s="11"/>
    </row>
    <row r="23" spans="2:8" x14ac:dyDescent="0.25">
      <c r="B23" s="1"/>
      <c r="E23" s="13" t="s">
        <v>396</v>
      </c>
      <c r="F23" s="11">
        <f>SUM(F11:F22)</f>
        <v>2260000</v>
      </c>
    </row>
    <row r="24" spans="2:8" x14ac:dyDescent="0.25">
      <c r="B24" s="1"/>
      <c r="E24" s="13" t="s">
        <v>397</v>
      </c>
      <c r="F24" s="11">
        <f>B6-F23</f>
        <v>1217500</v>
      </c>
    </row>
    <row r="25" spans="2:8" x14ac:dyDescent="0.25">
      <c r="B25" s="1"/>
    </row>
    <row r="26" spans="2:8" x14ac:dyDescent="0.25">
      <c r="E26" t="s">
        <v>398</v>
      </c>
      <c r="F26">
        <f>1000000+600000</f>
        <v>1600000</v>
      </c>
    </row>
  </sheetData>
  <mergeCells count="3">
    <mergeCell ref="B3:C3"/>
    <mergeCell ref="E10:H10"/>
    <mergeCell ref="E18:H1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F28C7-9CD4-47F1-994A-8ED014497192}">
  <dimension ref="C1:K49"/>
  <sheetViews>
    <sheetView topLeftCell="B1" zoomScale="130" zoomScaleNormal="130" workbookViewId="0">
      <selection activeCell="C1" sqref="C1:H27"/>
    </sheetView>
  </sheetViews>
  <sheetFormatPr defaultRowHeight="15" x14ac:dyDescent="0.25"/>
  <cols>
    <col min="4" max="4" width="27" customWidth="1"/>
    <col min="5" max="5" width="37.7109375" bestFit="1" customWidth="1"/>
    <col min="6" max="6" width="40.7109375" bestFit="1" customWidth="1"/>
    <col min="7" max="7" width="17.5703125" bestFit="1" customWidth="1"/>
    <col min="8" max="8" width="23.42578125" bestFit="1" customWidth="1"/>
    <col min="11" max="11" width="11.28515625" bestFit="1" customWidth="1"/>
  </cols>
  <sheetData>
    <row r="1" spans="3:8" x14ac:dyDescent="0.25">
      <c r="C1" s="9" t="s">
        <v>287</v>
      </c>
      <c r="D1" s="9" t="s">
        <v>2</v>
      </c>
      <c r="E1" s="9" t="s">
        <v>410</v>
      </c>
      <c r="F1" s="9" t="s">
        <v>361</v>
      </c>
      <c r="G1" s="9" t="s">
        <v>362</v>
      </c>
      <c r="H1" s="9" t="s">
        <v>363</v>
      </c>
    </row>
    <row r="2" spans="3:8" x14ac:dyDescent="0.25">
      <c r="C2" s="4">
        <v>1</v>
      </c>
      <c r="D2" s="5">
        <v>45831</v>
      </c>
      <c r="E2" s="11" t="s">
        <v>412</v>
      </c>
      <c r="F2" s="11" t="s">
        <v>411</v>
      </c>
      <c r="G2" s="11">
        <v>50000</v>
      </c>
      <c r="H2" s="4" t="s">
        <v>414</v>
      </c>
    </row>
    <row r="3" spans="3:8" x14ac:dyDescent="0.25">
      <c r="C3" s="4">
        <v>2</v>
      </c>
      <c r="D3" s="5">
        <v>45831</v>
      </c>
      <c r="E3" s="11" t="s">
        <v>413</v>
      </c>
      <c r="F3" s="11" t="s">
        <v>417</v>
      </c>
      <c r="G3" s="11">
        <v>100000</v>
      </c>
      <c r="H3" s="4" t="s">
        <v>414</v>
      </c>
    </row>
    <row r="4" spans="3:8" x14ac:dyDescent="0.25">
      <c r="C4" s="4">
        <v>3</v>
      </c>
      <c r="D4" s="5">
        <v>45831</v>
      </c>
      <c r="E4" s="11" t="s">
        <v>413</v>
      </c>
      <c r="F4" s="11" t="s">
        <v>417</v>
      </c>
      <c r="G4" s="11">
        <v>350000</v>
      </c>
      <c r="H4" s="4" t="s">
        <v>414</v>
      </c>
    </row>
    <row r="5" spans="3:8" x14ac:dyDescent="0.25">
      <c r="C5" s="4">
        <v>4</v>
      </c>
      <c r="D5" s="5">
        <v>45832</v>
      </c>
      <c r="E5" s="11" t="s">
        <v>412</v>
      </c>
      <c r="F5" s="11" t="s">
        <v>411</v>
      </c>
      <c r="G5" s="11">
        <v>400000</v>
      </c>
      <c r="H5" s="4" t="s">
        <v>414</v>
      </c>
    </row>
    <row r="6" spans="3:8" x14ac:dyDescent="0.25">
      <c r="C6" s="4">
        <v>5</v>
      </c>
      <c r="D6" s="5">
        <v>45838</v>
      </c>
      <c r="E6" s="11" t="s">
        <v>412</v>
      </c>
      <c r="F6" s="11" t="s">
        <v>411</v>
      </c>
      <c r="G6" s="11">
        <v>400000</v>
      </c>
      <c r="H6" s="4" t="s">
        <v>414</v>
      </c>
    </row>
    <row r="7" spans="3:8" x14ac:dyDescent="0.25">
      <c r="C7" s="4">
        <v>6</v>
      </c>
      <c r="D7" s="5">
        <v>45838</v>
      </c>
      <c r="E7" s="11" t="s">
        <v>412</v>
      </c>
      <c r="F7" s="11" t="s">
        <v>411</v>
      </c>
      <c r="G7" s="11">
        <v>800000</v>
      </c>
      <c r="H7" s="4" t="s">
        <v>414</v>
      </c>
    </row>
    <row r="8" spans="3:8" x14ac:dyDescent="0.25">
      <c r="C8" s="4">
        <v>7</v>
      </c>
      <c r="D8" s="5">
        <v>45839</v>
      </c>
      <c r="E8" s="11" t="s">
        <v>412</v>
      </c>
      <c r="F8" s="11" t="s">
        <v>411</v>
      </c>
      <c r="G8" s="11">
        <v>200000</v>
      </c>
      <c r="H8" s="4" t="s">
        <v>414</v>
      </c>
    </row>
    <row r="9" spans="3:8" x14ac:dyDescent="0.25">
      <c r="C9" s="4">
        <v>8</v>
      </c>
      <c r="D9" s="5">
        <v>45839</v>
      </c>
      <c r="E9" s="11" t="s">
        <v>415</v>
      </c>
      <c r="F9" s="11" t="s">
        <v>417</v>
      </c>
      <c r="G9" s="11">
        <v>200000</v>
      </c>
      <c r="H9" s="4" t="s">
        <v>414</v>
      </c>
    </row>
    <row r="10" spans="3:8" x14ac:dyDescent="0.25">
      <c r="C10" s="4">
        <v>9</v>
      </c>
      <c r="D10" s="5">
        <v>45873</v>
      </c>
      <c r="E10" s="11" t="s">
        <v>415</v>
      </c>
      <c r="F10" s="11" t="s">
        <v>416</v>
      </c>
      <c r="G10" s="11">
        <v>10000</v>
      </c>
      <c r="H10" s="4" t="s">
        <v>414</v>
      </c>
    </row>
    <row r="11" spans="3:8" x14ac:dyDescent="0.25">
      <c r="C11" s="4">
        <v>10</v>
      </c>
      <c r="D11" s="5">
        <v>45873</v>
      </c>
      <c r="E11" s="11" t="s">
        <v>415</v>
      </c>
      <c r="F11" s="11" t="s">
        <v>418</v>
      </c>
      <c r="G11" s="11">
        <v>10000</v>
      </c>
      <c r="H11" s="4" t="s">
        <v>414</v>
      </c>
    </row>
    <row r="12" spans="3:8" x14ac:dyDescent="0.25">
      <c r="C12" s="4">
        <v>11</v>
      </c>
      <c r="D12" s="5">
        <v>45874</v>
      </c>
      <c r="E12" s="11" t="s">
        <v>415</v>
      </c>
      <c r="F12" s="11" t="s">
        <v>416</v>
      </c>
      <c r="G12" s="11">
        <v>490000</v>
      </c>
      <c r="H12" s="4" t="s">
        <v>414</v>
      </c>
    </row>
    <row r="13" spans="3:8" x14ac:dyDescent="0.25">
      <c r="C13" s="4">
        <v>12</v>
      </c>
      <c r="D13" s="5">
        <v>45874</v>
      </c>
      <c r="E13" s="11" t="s">
        <v>415</v>
      </c>
      <c r="F13" s="11" t="s">
        <v>418</v>
      </c>
      <c r="G13" s="11">
        <v>490000</v>
      </c>
      <c r="H13" s="4" t="s">
        <v>414</v>
      </c>
    </row>
    <row r="14" spans="3:8" x14ac:dyDescent="0.25">
      <c r="C14" s="4">
        <v>13</v>
      </c>
      <c r="D14" s="5">
        <v>45874</v>
      </c>
      <c r="E14" s="11" t="s">
        <v>415</v>
      </c>
      <c r="F14" s="11" t="s">
        <v>416</v>
      </c>
      <c r="G14" s="11">
        <v>500000</v>
      </c>
      <c r="H14" s="4" t="s">
        <v>414</v>
      </c>
    </row>
    <row r="15" spans="3:8" x14ac:dyDescent="0.25">
      <c r="C15" s="4">
        <v>14</v>
      </c>
      <c r="D15" s="5">
        <v>45875</v>
      </c>
      <c r="E15" s="11" t="s">
        <v>415</v>
      </c>
      <c r="F15" s="11" t="s">
        <v>418</v>
      </c>
      <c r="G15" s="11">
        <v>500000</v>
      </c>
      <c r="H15" s="4" t="s">
        <v>414</v>
      </c>
    </row>
    <row r="16" spans="3:8" x14ac:dyDescent="0.25">
      <c r="C16" s="4">
        <v>15</v>
      </c>
      <c r="D16" s="5">
        <v>45876</v>
      </c>
      <c r="E16" s="13" t="s">
        <v>400</v>
      </c>
      <c r="F16" s="11"/>
      <c r="G16" s="11">
        <v>1000000</v>
      </c>
      <c r="H16" s="4" t="s">
        <v>419</v>
      </c>
    </row>
    <row r="17" spans="3:11" x14ac:dyDescent="0.25">
      <c r="C17" s="4">
        <v>16</v>
      </c>
      <c r="D17" s="5">
        <v>45889</v>
      </c>
      <c r="E17" s="11" t="s">
        <v>420</v>
      </c>
      <c r="F17" s="11" t="s">
        <v>416</v>
      </c>
      <c r="G17" s="11">
        <v>400000</v>
      </c>
      <c r="H17" s="4" t="s">
        <v>414</v>
      </c>
    </row>
    <row r="18" spans="3:11" x14ac:dyDescent="0.25">
      <c r="C18" s="4">
        <v>17</v>
      </c>
      <c r="D18" s="5">
        <v>45889</v>
      </c>
      <c r="E18" s="11" t="s">
        <v>422</v>
      </c>
      <c r="F18" s="11" t="s">
        <v>418</v>
      </c>
      <c r="G18" s="11">
        <v>400000</v>
      </c>
      <c r="H18" s="4" t="s">
        <v>414</v>
      </c>
    </row>
    <row r="19" spans="3:11" x14ac:dyDescent="0.25">
      <c r="C19" s="4">
        <v>18</v>
      </c>
      <c r="D19" s="5">
        <v>45890</v>
      </c>
      <c r="E19" s="11" t="s">
        <v>421</v>
      </c>
      <c r="F19" s="11" t="s">
        <v>417</v>
      </c>
      <c r="G19" s="11">
        <v>49900</v>
      </c>
      <c r="H19" s="4" t="s">
        <v>414</v>
      </c>
    </row>
    <row r="20" spans="3:11" x14ac:dyDescent="0.25">
      <c r="C20" s="4">
        <v>19</v>
      </c>
      <c r="D20" s="5">
        <v>45831</v>
      </c>
      <c r="E20" s="11" t="s">
        <v>423</v>
      </c>
      <c r="F20" s="11" t="s">
        <v>417</v>
      </c>
      <c r="G20" s="11">
        <v>450000</v>
      </c>
      <c r="H20" s="4" t="s">
        <v>414</v>
      </c>
    </row>
    <row r="21" spans="3:11" x14ac:dyDescent="0.25">
      <c r="C21" s="4">
        <v>20</v>
      </c>
      <c r="D21" s="5">
        <v>45911</v>
      </c>
      <c r="E21" s="13" t="s">
        <v>400</v>
      </c>
      <c r="F21" s="11" t="s">
        <v>424</v>
      </c>
      <c r="G21" s="11">
        <f>1000000+200000</f>
        <v>1200000</v>
      </c>
      <c r="H21" s="4" t="s">
        <v>419</v>
      </c>
      <c r="K21" s="1"/>
    </row>
    <row r="22" spans="3:11" x14ac:dyDescent="0.25">
      <c r="C22" s="4">
        <v>21</v>
      </c>
      <c r="D22" s="5"/>
      <c r="E22" s="11"/>
      <c r="F22" s="6"/>
      <c r="G22" s="11"/>
      <c r="H22" s="4"/>
      <c r="K22" s="1"/>
    </row>
    <row r="23" spans="3:11" x14ac:dyDescent="0.25">
      <c r="C23" s="4">
        <v>22</v>
      </c>
      <c r="D23" s="5"/>
      <c r="E23" s="11"/>
      <c r="F23" s="6"/>
      <c r="G23" s="11"/>
      <c r="H23" s="4"/>
      <c r="K23" s="1"/>
    </row>
    <row r="24" spans="3:11" x14ac:dyDescent="0.25">
      <c r="C24" s="4">
        <v>23</v>
      </c>
      <c r="D24" s="5"/>
      <c r="E24" s="11"/>
      <c r="F24" s="6"/>
      <c r="G24" s="11"/>
      <c r="H24" s="4"/>
      <c r="K24" s="1"/>
    </row>
    <row r="25" spans="3:11" x14ac:dyDescent="0.25">
      <c r="C25" s="4">
        <v>24</v>
      </c>
      <c r="D25" s="5"/>
      <c r="E25" s="11"/>
      <c r="F25" s="6"/>
      <c r="G25" s="11"/>
      <c r="H25" s="4"/>
    </row>
    <row r="26" spans="3:11" x14ac:dyDescent="0.25">
      <c r="C26" s="4">
        <v>25</v>
      </c>
      <c r="D26" s="5"/>
      <c r="E26" s="11"/>
      <c r="F26" s="6"/>
      <c r="G26" s="11"/>
      <c r="H26" s="4"/>
    </row>
    <row r="27" spans="3:11" x14ac:dyDescent="0.25">
      <c r="C27" s="159" t="s">
        <v>364</v>
      </c>
      <c r="D27" s="160"/>
      <c r="E27" s="160"/>
      <c r="F27" s="161"/>
      <c r="G27" s="93">
        <f>SUM(G2:G26)</f>
        <v>7999900</v>
      </c>
      <c r="H27" s="11"/>
    </row>
    <row r="29" spans="3:11" x14ac:dyDescent="0.25">
      <c r="D29" t="s">
        <v>434</v>
      </c>
      <c r="E29">
        <v>500000</v>
      </c>
      <c r="F29" t="s">
        <v>428</v>
      </c>
      <c r="G29">
        <v>455000</v>
      </c>
    </row>
    <row r="30" spans="3:11" x14ac:dyDescent="0.25">
      <c r="D30" t="s">
        <v>425</v>
      </c>
      <c r="E30">
        <v>500000</v>
      </c>
      <c r="F30" t="s">
        <v>429</v>
      </c>
      <c r="G30">
        <v>34</v>
      </c>
    </row>
    <row r="31" spans="3:11" x14ac:dyDescent="0.25">
      <c r="D31" t="s">
        <v>433</v>
      </c>
      <c r="E31">
        <v>500000</v>
      </c>
      <c r="F31" t="s">
        <v>430</v>
      </c>
      <c r="G31">
        <f>G29*G30</f>
        <v>15470000</v>
      </c>
    </row>
    <row r="32" spans="3:11" x14ac:dyDescent="0.25">
      <c r="D32" t="s">
        <v>435</v>
      </c>
      <c r="E32">
        <v>1000000</v>
      </c>
      <c r="F32" t="s">
        <v>327</v>
      </c>
      <c r="G32">
        <f>G27</f>
        <v>7999900</v>
      </c>
    </row>
    <row r="33" spans="4:9" x14ac:dyDescent="0.25">
      <c r="D33" t="s">
        <v>437</v>
      </c>
      <c r="E33">
        <v>800000</v>
      </c>
      <c r="F33" t="s">
        <v>431</v>
      </c>
      <c r="G33">
        <f>SUM(E29:E37)</f>
        <v>6300000</v>
      </c>
    </row>
    <row r="34" spans="4:9" x14ac:dyDescent="0.25">
      <c r="D34" t="s">
        <v>445</v>
      </c>
      <c r="E34">
        <v>700000</v>
      </c>
      <c r="F34" t="s">
        <v>432</v>
      </c>
      <c r="G34" s="96">
        <f>G31-G32-G33</f>
        <v>1170100</v>
      </c>
    </row>
    <row r="35" spans="4:9" x14ac:dyDescent="0.25">
      <c r="D35" t="s">
        <v>445</v>
      </c>
      <c r="E35">
        <v>600000</v>
      </c>
    </row>
    <row r="36" spans="4:9" x14ac:dyDescent="0.25">
      <c r="D36" t="s">
        <v>446</v>
      </c>
      <c r="E36">
        <v>700000</v>
      </c>
      <c r="F36" t="s">
        <v>436</v>
      </c>
      <c r="G36">
        <f>SUM(E29:E39)</f>
        <v>7200000</v>
      </c>
    </row>
    <row r="37" spans="4:9" x14ac:dyDescent="0.25">
      <c r="D37" t="s">
        <v>426</v>
      </c>
      <c r="E37">
        <v>1000000</v>
      </c>
    </row>
    <row r="38" spans="4:9" x14ac:dyDescent="0.25">
      <c r="D38" t="s">
        <v>447</v>
      </c>
      <c r="E38">
        <v>300000</v>
      </c>
    </row>
    <row r="39" spans="4:9" x14ac:dyDescent="0.25">
      <c r="D39" t="s">
        <v>427</v>
      </c>
      <c r="E39">
        <v>600000</v>
      </c>
    </row>
    <row r="40" spans="4:9" x14ac:dyDescent="0.25">
      <c r="F40" t="s">
        <v>438</v>
      </c>
      <c r="G40">
        <f>G31-G32</f>
        <v>7470100</v>
      </c>
      <c r="H40" t="s">
        <v>440</v>
      </c>
      <c r="I40">
        <v>1500000</v>
      </c>
    </row>
    <row r="41" spans="4:9" x14ac:dyDescent="0.25">
      <c r="F41" t="s">
        <v>439</v>
      </c>
      <c r="G41">
        <v>150000</v>
      </c>
      <c r="H41" t="s">
        <v>441</v>
      </c>
      <c r="I41">
        <f>G40-I40</f>
        <v>5970100</v>
      </c>
    </row>
    <row r="42" spans="4:9" x14ac:dyDescent="0.25">
      <c r="F42" t="s">
        <v>366</v>
      </c>
      <c r="G42">
        <v>200000</v>
      </c>
    </row>
    <row r="43" spans="4:9" x14ac:dyDescent="0.25">
      <c r="D43">
        <v>54</v>
      </c>
    </row>
    <row r="44" spans="4:9" x14ac:dyDescent="0.25">
      <c r="D44">
        <v>15</v>
      </c>
    </row>
    <row r="45" spans="4:9" x14ac:dyDescent="0.25">
      <c r="D45">
        <v>9</v>
      </c>
    </row>
    <row r="47" spans="4:9" x14ac:dyDescent="0.25">
      <c r="F47" t="s">
        <v>443</v>
      </c>
      <c r="G47">
        <f>2500000+800000</f>
        <v>3300000</v>
      </c>
    </row>
    <row r="48" spans="4:9" x14ac:dyDescent="0.25">
      <c r="F48" t="s">
        <v>444</v>
      </c>
      <c r="G48">
        <f>I41-G47-G49</f>
        <v>1760100</v>
      </c>
    </row>
    <row r="49" spans="6:7" x14ac:dyDescent="0.25">
      <c r="F49" t="s">
        <v>442</v>
      </c>
      <c r="G49">
        <f>2*G29</f>
        <v>910000</v>
      </c>
    </row>
  </sheetData>
  <mergeCells count="1">
    <mergeCell ref="C27:F2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A414-F219-46AA-BB95-A74A42A185F5}">
  <dimension ref="B4:E29"/>
  <sheetViews>
    <sheetView workbookViewId="0">
      <selection activeCell="H21" sqref="H21"/>
    </sheetView>
  </sheetViews>
  <sheetFormatPr defaultRowHeight="15" x14ac:dyDescent="0.25"/>
  <cols>
    <col min="3" max="3" width="27.7109375" customWidth="1"/>
    <col min="4" max="4" width="29.140625" bestFit="1" customWidth="1"/>
    <col min="5" max="5" width="27.7109375" customWidth="1"/>
  </cols>
  <sheetData>
    <row r="4" spans="3:5" x14ac:dyDescent="0.25">
      <c r="C4" s="10" t="s">
        <v>35</v>
      </c>
      <c r="D4" s="9" t="s">
        <v>36</v>
      </c>
    </row>
    <row r="5" spans="3:5" x14ac:dyDescent="0.25">
      <c r="C5" s="6" t="s">
        <v>39</v>
      </c>
      <c r="D5" s="7">
        <v>43275</v>
      </c>
    </row>
    <row r="6" spans="3:5" x14ac:dyDescent="0.25">
      <c r="C6" s="6" t="s">
        <v>42</v>
      </c>
      <c r="D6" s="9">
        <v>500000</v>
      </c>
      <c r="E6" t="s">
        <v>43</v>
      </c>
    </row>
    <row r="7" spans="3:5" x14ac:dyDescent="0.25">
      <c r="C7" s="6" t="s">
        <v>47</v>
      </c>
      <c r="D7" s="4">
        <v>2</v>
      </c>
    </row>
    <row r="8" spans="3:5" x14ac:dyDescent="0.25">
      <c r="C8" s="6" t="s">
        <v>48</v>
      </c>
      <c r="D8" s="4">
        <f>(D6*D7)/100</f>
        <v>10000</v>
      </c>
    </row>
    <row r="9" spans="3:5" x14ac:dyDescent="0.25">
      <c r="C9" s="6" t="s">
        <v>49</v>
      </c>
      <c r="D9" s="7">
        <v>45681</v>
      </c>
    </row>
    <row r="10" spans="3:5" x14ac:dyDescent="0.25">
      <c r="C10" s="6" t="s">
        <v>50</v>
      </c>
      <c r="D10" s="8">
        <v>79</v>
      </c>
    </row>
    <row r="11" spans="3:5" x14ac:dyDescent="0.25">
      <c r="C11" s="6" t="s">
        <v>52</v>
      </c>
      <c r="D11" s="4">
        <f>D6+(D10*D8)</f>
        <v>1290000</v>
      </c>
    </row>
    <row r="12" spans="3:5" x14ac:dyDescent="0.25">
      <c r="C12" s="14" t="s">
        <v>54</v>
      </c>
      <c r="D12" s="14">
        <v>98000</v>
      </c>
      <c r="E12" s="2" t="s">
        <v>55</v>
      </c>
    </row>
    <row r="13" spans="3:5" x14ac:dyDescent="0.25">
      <c r="C13" s="14" t="s">
        <v>58</v>
      </c>
      <c r="D13" s="14">
        <v>75000</v>
      </c>
      <c r="E13" s="2" t="s">
        <v>59</v>
      </c>
    </row>
    <row r="14" spans="3:5" x14ac:dyDescent="0.25">
      <c r="C14" s="43" t="s">
        <v>60</v>
      </c>
      <c r="D14" s="44">
        <f>D11-D12-D13</f>
        <v>1117000</v>
      </c>
    </row>
    <row r="15" spans="3:5" x14ac:dyDescent="0.25">
      <c r="C15" s="13" t="s">
        <v>63</v>
      </c>
      <c r="D15" s="13">
        <v>350000</v>
      </c>
    </row>
    <row r="16" spans="3:5" x14ac:dyDescent="0.25">
      <c r="C16" s="15" t="s">
        <v>60</v>
      </c>
      <c r="D16" s="16">
        <f>D11-D12-D13-D15</f>
        <v>767000</v>
      </c>
    </row>
    <row r="19" spans="2:5" x14ac:dyDescent="0.25">
      <c r="B19" s="13" t="s">
        <v>287</v>
      </c>
      <c r="C19" s="13" t="s">
        <v>209</v>
      </c>
      <c r="D19" s="162">
        <v>43275</v>
      </c>
      <c r="E19" s="162"/>
    </row>
    <row r="20" spans="2:5" x14ac:dyDescent="0.25">
      <c r="B20" s="4">
        <v>1</v>
      </c>
      <c r="C20" s="11" t="s">
        <v>328</v>
      </c>
      <c r="D20" s="11">
        <v>500000</v>
      </c>
      <c r="E20" s="11"/>
    </row>
    <row r="21" spans="2:5" x14ac:dyDescent="0.25">
      <c r="B21" s="4">
        <v>2</v>
      </c>
      <c r="C21" s="11" t="s">
        <v>374</v>
      </c>
      <c r="D21" s="11" t="s">
        <v>373</v>
      </c>
      <c r="E21" s="11"/>
    </row>
    <row r="22" spans="2:5" x14ac:dyDescent="0.25">
      <c r="B22" s="4">
        <v>3</v>
      </c>
      <c r="C22" s="11" t="s">
        <v>375</v>
      </c>
      <c r="D22" s="11">
        <v>10000</v>
      </c>
      <c r="E22" s="11"/>
    </row>
    <row r="23" spans="2:5" x14ac:dyDescent="0.25">
      <c r="B23" s="4">
        <v>4</v>
      </c>
      <c r="C23" s="11" t="s">
        <v>376</v>
      </c>
      <c r="D23" s="11">
        <v>98000</v>
      </c>
      <c r="E23" s="64">
        <v>43678</v>
      </c>
    </row>
    <row r="24" spans="2:5" x14ac:dyDescent="0.25">
      <c r="B24" s="4">
        <v>5</v>
      </c>
      <c r="C24" s="11" t="s">
        <v>376</v>
      </c>
      <c r="D24" s="11">
        <v>75000</v>
      </c>
      <c r="E24" s="64">
        <v>44075</v>
      </c>
    </row>
    <row r="25" spans="2:5" x14ac:dyDescent="0.25">
      <c r="B25" s="4">
        <v>6</v>
      </c>
      <c r="C25" s="11" t="s">
        <v>376</v>
      </c>
      <c r="D25" s="11">
        <v>350000</v>
      </c>
      <c r="E25" s="64">
        <v>44986</v>
      </c>
    </row>
    <row r="26" spans="2:5" x14ac:dyDescent="0.25">
      <c r="B26" s="4">
        <v>7</v>
      </c>
      <c r="C26" s="11" t="s">
        <v>377</v>
      </c>
      <c r="D26" s="11">
        <v>79</v>
      </c>
      <c r="E26" s="11"/>
    </row>
    <row r="27" spans="2:5" x14ac:dyDescent="0.25">
      <c r="B27" s="4">
        <v>8</v>
      </c>
      <c r="C27" s="11" t="s">
        <v>378</v>
      </c>
      <c r="D27" s="11">
        <f>D26*D22</f>
        <v>790000</v>
      </c>
      <c r="E27" s="11"/>
    </row>
    <row r="28" spans="2:5" x14ac:dyDescent="0.25">
      <c r="B28" s="4">
        <v>9</v>
      </c>
      <c r="C28" s="11" t="s">
        <v>379</v>
      </c>
      <c r="D28" s="11">
        <f>D27-D25-D24-D23</f>
        <v>267000</v>
      </c>
      <c r="E28" s="11"/>
    </row>
    <row r="29" spans="2:5" x14ac:dyDescent="0.25">
      <c r="B29" s="103" t="s">
        <v>380</v>
      </c>
      <c r="C29" s="104"/>
      <c r="D29" s="13">
        <f>D28+D20</f>
        <v>767000</v>
      </c>
      <c r="E29" s="11"/>
    </row>
  </sheetData>
  <mergeCells count="2">
    <mergeCell ref="D19:E19"/>
    <mergeCell ref="B29:C2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F3B4-D06F-4A61-A651-3EB5BDD59A41}">
  <dimension ref="B2:G40"/>
  <sheetViews>
    <sheetView tabSelected="1" workbookViewId="0">
      <selection activeCell="H13" sqref="H13"/>
    </sheetView>
  </sheetViews>
  <sheetFormatPr defaultRowHeight="15" x14ac:dyDescent="0.25"/>
  <cols>
    <col min="2" max="2" width="5.140625" bestFit="1" customWidth="1"/>
    <col min="3" max="3" width="10.7109375" bestFit="1" customWidth="1"/>
    <col min="4" max="4" width="37.7109375" bestFit="1" customWidth="1"/>
    <col min="5" max="5" width="45.28515625" bestFit="1" customWidth="1"/>
    <col min="6" max="6" width="17.5703125" bestFit="1" customWidth="1"/>
    <col min="7" max="7" width="23.42578125" bestFit="1" customWidth="1"/>
  </cols>
  <sheetData>
    <row r="2" spans="2:7" x14ac:dyDescent="0.25">
      <c r="B2" s="9" t="s">
        <v>287</v>
      </c>
      <c r="C2" s="9" t="s">
        <v>209</v>
      </c>
      <c r="D2" s="9" t="s">
        <v>453</v>
      </c>
      <c r="E2" s="163" t="s">
        <v>455</v>
      </c>
    </row>
    <row r="3" spans="2:7" x14ac:dyDescent="0.25">
      <c r="B3" s="4">
        <v>1</v>
      </c>
      <c r="C3" s="5">
        <v>45819</v>
      </c>
      <c r="D3" s="11" t="s">
        <v>454</v>
      </c>
      <c r="E3" s="4">
        <v>33</v>
      </c>
    </row>
    <row r="4" spans="2:7" x14ac:dyDescent="0.25">
      <c r="B4" s="4">
        <v>2</v>
      </c>
      <c r="C4" s="5">
        <v>45819</v>
      </c>
      <c r="D4" s="11" t="s">
        <v>456</v>
      </c>
      <c r="E4" s="4">
        <v>16.5</v>
      </c>
    </row>
    <row r="5" spans="2:7" x14ac:dyDescent="0.25">
      <c r="B5" s="4">
        <v>3</v>
      </c>
      <c r="C5" s="5">
        <v>45819</v>
      </c>
      <c r="D5" s="11" t="s">
        <v>457</v>
      </c>
      <c r="E5" s="4">
        <v>1.5</v>
      </c>
    </row>
    <row r="6" spans="2:7" x14ac:dyDescent="0.25">
      <c r="B6" s="4">
        <v>4</v>
      </c>
      <c r="C6" s="5">
        <v>45819</v>
      </c>
      <c r="D6" s="11" t="s">
        <v>458</v>
      </c>
      <c r="E6" s="4">
        <v>10</v>
      </c>
    </row>
    <row r="7" spans="2:7" x14ac:dyDescent="0.25">
      <c r="B7" s="4">
        <v>5</v>
      </c>
      <c r="C7" s="5">
        <v>45819</v>
      </c>
      <c r="D7" s="11" t="s">
        <v>459</v>
      </c>
      <c r="E7" s="4">
        <v>6</v>
      </c>
    </row>
    <row r="8" spans="2:7" x14ac:dyDescent="0.25">
      <c r="B8" s="4">
        <v>6</v>
      </c>
      <c r="C8" s="5">
        <v>45819</v>
      </c>
      <c r="D8" s="11" t="s">
        <v>460</v>
      </c>
      <c r="E8" s="4">
        <v>5</v>
      </c>
    </row>
    <row r="9" spans="2:7" x14ac:dyDescent="0.25">
      <c r="B9" s="4">
        <v>7</v>
      </c>
      <c r="C9" s="5">
        <v>45819</v>
      </c>
      <c r="D9" s="11" t="s">
        <v>461</v>
      </c>
      <c r="E9" s="4">
        <v>4</v>
      </c>
    </row>
    <row r="10" spans="2:7" x14ac:dyDescent="0.25">
      <c r="B10" s="4">
        <v>8</v>
      </c>
      <c r="C10" s="5">
        <v>45819</v>
      </c>
      <c r="D10" s="11" t="s">
        <v>462</v>
      </c>
      <c r="E10" s="4">
        <v>5.5</v>
      </c>
    </row>
    <row r="11" spans="2:7" x14ac:dyDescent="0.25">
      <c r="B11" s="4">
        <v>9</v>
      </c>
      <c r="C11" s="5">
        <v>45819</v>
      </c>
      <c r="D11" s="11" t="s">
        <v>179</v>
      </c>
      <c r="E11" s="4">
        <v>0</v>
      </c>
    </row>
    <row r="12" spans="2:7" x14ac:dyDescent="0.25">
      <c r="B12" s="110" t="s">
        <v>463</v>
      </c>
      <c r="C12" s="164"/>
      <c r="D12" s="111"/>
      <c r="E12" s="9">
        <f>SUM(E3:E11)</f>
        <v>81.5</v>
      </c>
    </row>
    <row r="14" spans="2:7" x14ac:dyDescent="0.25">
      <c r="B14" s="9" t="s">
        <v>287</v>
      </c>
      <c r="C14" s="9" t="s">
        <v>2</v>
      </c>
      <c r="D14" s="9" t="s">
        <v>410</v>
      </c>
      <c r="E14" s="9" t="s">
        <v>361</v>
      </c>
      <c r="F14" s="9" t="s">
        <v>362</v>
      </c>
      <c r="G14" s="9" t="s">
        <v>363</v>
      </c>
    </row>
    <row r="15" spans="2:7" x14ac:dyDescent="0.25">
      <c r="B15" s="4">
        <v>1</v>
      </c>
      <c r="C15" s="5">
        <v>45819</v>
      </c>
      <c r="D15" s="11" t="s">
        <v>412</v>
      </c>
      <c r="E15" s="11"/>
      <c r="F15" s="11"/>
      <c r="G15" s="4" t="s">
        <v>414</v>
      </c>
    </row>
    <row r="16" spans="2:7" x14ac:dyDescent="0.25">
      <c r="B16" s="4">
        <v>2</v>
      </c>
      <c r="C16" s="5"/>
      <c r="D16" s="11"/>
      <c r="E16" s="11"/>
      <c r="F16" s="11"/>
      <c r="G16" s="4"/>
    </row>
    <row r="17" spans="2:7" x14ac:dyDescent="0.25">
      <c r="B17" s="4">
        <v>3</v>
      </c>
      <c r="C17" s="5"/>
      <c r="D17" s="11"/>
      <c r="E17" s="11"/>
      <c r="F17" s="11"/>
      <c r="G17" s="4"/>
    </row>
    <row r="18" spans="2:7" x14ac:dyDescent="0.25">
      <c r="B18" s="4">
        <v>4</v>
      </c>
      <c r="C18" s="5"/>
      <c r="D18" s="11"/>
      <c r="E18" s="11"/>
      <c r="F18" s="11"/>
      <c r="G18" s="4"/>
    </row>
    <row r="19" spans="2:7" x14ac:dyDescent="0.25">
      <c r="B19" s="4">
        <v>5</v>
      </c>
      <c r="C19" s="5"/>
      <c r="D19" s="11"/>
      <c r="E19" s="11"/>
      <c r="F19" s="11"/>
      <c r="G19" s="4"/>
    </row>
    <row r="20" spans="2:7" x14ac:dyDescent="0.25">
      <c r="B20" s="4">
        <v>6</v>
      </c>
      <c r="C20" s="5"/>
      <c r="D20" s="11"/>
      <c r="E20" s="11"/>
      <c r="F20" s="11"/>
      <c r="G20" s="4"/>
    </row>
    <row r="21" spans="2:7" x14ac:dyDescent="0.25">
      <c r="B21" s="4">
        <v>7</v>
      </c>
      <c r="C21" s="5"/>
      <c r="D21" s="11"/>
      <c r="E21" s="11"/>
      <c r="F21" s="11"/>
      <c r="G21" s="4"/>
    </row>
    <row r="22" spans="2:7" x14ac:dyDescent="0.25">
      <c r="B22" s="4">
        <v>8</v>
      </c>
      <c r="C22" s="5"/>
      <c r="D22" s="11"/>
      <c r="E22" s="11"/>
      <c r="F22" s="11"/>
      <c r="G22" s="4"/>
    </row>
    <row r="23" spans="2:7" x14ac:dyDescent="0.25">
      <c r="B23" s="4">
        <v>9</v>
      </c>
      <c r="C23" s="5"/>
      <c r="D23" s="11"/>
      <c r="E23" s="11"/>
      <c r="F23" s="11"/>
      <c r="G23" s="4"/>
    </row>
    <row r="24" spans="2:7" x14ac:dyDescent="0.25">
      <c r="B24" s="4">
        <v>10</v>
      </c>
      <c r="C24" s="5"/>
      <c r="D24" s="11"/>
      <c r="E24" s="11"/>
      <c r="F24" s="11"/>
      <c r="G24" s="4"/>
    </row>
    <row r="25" spans="2:7" x14ac:dyDescent="0.25">
      <c r="B25" s="4">
        <v>11</v>
      </c>
      <c r="C25" s="5"/>
      <c r="D25" s="11"/>
      <c r="E25" s="11"/>
      <c r="F25" s="11"/>
      <c r="G25" s="4"/>
    </row>
    <row r="26" spans="2:7" x14ac:dyDescent="0.25">
      <c r="B26" s="4">
        <v>12</v>
      </c>
      <c r="C26" s="5"/>
      <c r="D26" s="11"/>
      <c r="E26" s="11"/>
      <c r="F26" s="11"/>
      <c r="G26" s="4"/>
    </row>
    <row r="27" spans="2:7" x14ac:dyDescent="0.25">
      <c r="B27" s="4">
        <v>13</v>
      </c>
      <c r="C27" s="5"/>
      <c r="D27" s="11"/>
      <c r="E27" s="11"/>
      <c r="F27" s="11"/>
      <c r="G27" s="4"/>
    </row>
    <row r="28" spans="2:7" x14ac:dyDescent="0.25">
      <c r="B28" s="4">
        <v>14</v>
      </c>
      <c r="C28" s="5"/>
      <c r="D28" s="11"/>
      <c r="E28" s="11"/>
      <c r="F28" s="11"/>
      <c r="G28" s="4"/>
    </row>
    <row r="29" spans="2:7" x14ac:dyDescent="0.25">
      <c r="B29" s="4">
        <v>15</v>
      </c>
      <c r="C29" s="5"/>
      <c r="D29" s="13"/>
      <c r="E29" s="11"/>
      <c r="F29" s="11"/>
      <c r="G29" s="4"/>
    </row>
    <row r="30" spans="2:7" x14ac:dyDescent="0.25">
      <c r="B30" s="4">
        <v>16</v>
      </c>
      <c r="C30" s="5"/>
      <c r="D30" s="11"/>
      <c r="E30" s="11"/>
      <c r="F30" s="11"/>
      <c r="G30" s="4"/>
    </row>
    <row r="31" spans="2:7" x14ac:dyDescent="0.25">
      <c r="B31" s="4">
        <v>17</v>
      </c>
      <c r="C31" s="5"/>
      <c r="D31" s="11"/>
      <c r="E31" s="11"/>
      <c r="F31" s="11"/>
      <c r="G31" s="4"/>
    </row>
    <row r="32" spans="2:7" x14ac:dyDescent="0.25">
      <c r="B32" s="4">
        <v>18</v>
      </c>
      <c r="C32" s="5"/>
      <c r="D32" s="11"/>
      <c r="E32" s="11"/>
      <c r="F32" s="11"/>
      <c r="G32" s="4"/>
    </row>
    <row r="33" spans="2:7" x14ac:dyDescent="0.25">
      <c r="B33" s="4">
        <v>19</v>
      </c>
      <c r="C33" s="5"/>
      <c r="D33" s="11"/>
      <c r="E33" s="11"/>
      <c r="F33" s="11"/>
      <c r="G33" s="4"/>
    </row>
    <row r="34" spans="2:7" x14ac:dyDescent="0.25">
      <c r="B34" s="4">
        <v>20</v>
      </c>
      <c r="C34" s="5"/>
      <c r="D34" s="13"/>
      <c r="E34" s="11"/>
      <c r="F34" s="11"/>
      <c r="G34" s="4"/>
    </row>
    <row r="35" spans="2:7" x14ac:dyDescent="0.25">
      <c r="B35" s="4">
        <v>21</v>
      </c>
      <c r="C35" s="5"/>
      <c r="D35" s="11"/>
      <c r="E35" s="6"/>
      <c r="F35" s="11"/>
      <c r="G35" s="4"/>
    </row>
    <row r="36" spans="2:7" x14ac:dyDescent="0.25">
      <c r="B36" s="4">
        <v>22</v>
      </c>
      <c r="C36" s="5"/>
      <c r="D36" s="11"/>
      <c r="E36" s="6"/>
      <c r="F36" s="11"/>
      <c r="G36" s="4"/>
    </row>
    <row r="37" spans="2:7" x14ac:dyDescent="0.25">
      <c r="B37" s="4">
        <v>23</v>
      </c>
      <c r="C37" s="5"/>
      <c r="D37" s="11"/>
      <c r="E37" s="6"/>
      <c r="F37" s="11"/>
      <c r="G37" s="4"/>
    </row>
    <row r="38" spans="2:7" x14ac:dyDescent="0.25">
      <c r="B38" s="4">
        <v>24</v>
      </c>
      <c r="C38" s="5"/>
      <c r="D38" s="11"/>
      <c r="E38" s="6"/>
      <c r="F38" s="11"/>
      <c r="G38" s="4"/>
    </row>
    <row r="39" spans="2:7" x14ac:dyDescent="0.25">
      <c r="B39" s="4">
        <v>25</v>
      </c>
      <c r="C39" s="5"/>
      <c r="D39" s="11"/>
      <c r="E39" s="6"/>
      <c r="F39" s="11"/>
      <c r="G39" s="4"/>
    </row>
    <row r="40" spans="2:7" x14ac:dyDescent="0.25">
      <c r="B40" s="159" t="s">
        <v>364</v>
      </c>
      <c r="C40" s="160"/>
      <c r="D40" s="160"/>
      <c r="E40" s="161"/>
      <c r="F40" s="93">
        <f>SUM(F15:F39)</f>
        <v>0</v>
      </c>
      <c r="G40" s="11"/>
    </row>
  </sheetData>
  <mergeCells count="2">
    <mergeCell ref="B40:E40"/>
    <mergeCell ref="B12:D1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SUDHA</vt:lpstr>
      <vt:lpstr>Dachukunnavi</vt:lpstr>
      <vt:lpstr>Dachukunnavi2</vt:lpstr>
      <vt:lpstr>MiyapurFlat</vt:lpstr>
      <vt:lpstr>Sheet1</vt:lpstr>
      <vt:lpstr>FAMILY SAVINGS</vt:lpstr>
      <vt:lpstr>EzyTech</vt:lpstr>
      <vt:lpstr>HYD_Plot</vt:lpstr>
      <vt:lpstr>KKD_Plot2</vt:lpstr>
      <vt:lpstr>KKD_Plot3Plans</vt:lpstr>
      <vt:lpstr>KKD_Plot4Plans</vt:lpstr>
      <vt:lpstr>kkd_Plot5_Plans</vt:lpstr>
      <vt:lpstr>Kesanakuru</vt:lpstr>
      <vt:lpstr>kkd_Plot6Plans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Datla</dc:creator>
  <cp:keywords/>
  <dc:description/>
  <cp:lastModifiedBy>Sai Datla (CTR)</cp:lastModifiedBy>
  <cp:revision/>
  <dcterms:created xsi:type="dcterms:W3CDTF">2018-03-23T10:45:27Z</dcterms:created>
  <dcterms:modified xsi:type="dcterms:W3CDTF">2026-06-11T12:47:27Z</dcterms:modified>
  <cp:category/>
  <cp:contentStatus/>
</cp:coreProperties>
</file>